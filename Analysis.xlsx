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b1cb71cdb289a1/Desktop/e-commerce/"/>
    </mc:Choice>
  </mc:AlternateContent>
  <xr:revisionPtr revIDLastSave="1" documentId="8_{0A4647C1-4E8F-490B-B9D4-D2C28FE7BB06}" xr6:coauthVersionLast="47" xr6:coauthVersionMax="47" xr10:uidLastSave="{E00EF0C5-8ADA-40B1-9E03-2B1B4FC6DA87}"/>
  <bookViews>
    <workbookView xWindow="-108" yWindow="-108" windowWidth="23256" windowHeight="13176" xr2:uid="{CCF90135-C38C-46F9-9959-4C2AD4E03412}"/>
  </bookViews>
  <sheets>
    <sheet name="Analysi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1" l="1"/>
  <c r="J28" i="1"/>
  <c r="J27" i="1"/>
  <c r="J26" i="1"/>
  <c r="J25" i="1"/>
  <c r="J24" i="1"/>
  <c r="J23" i="1"/>
  <c r="O16" i="1"/>
  <c r="O15" i="1"/>
  <c r="O14" i="1"/>
  <c r="O13" i="1"/>
  <c r="O12" i="1"/>
  <c r="O11" i="1"/>
  <c r="O10" i="1"/>
  <c r="O9" i="1"/>
  <c r="O8" i="1"/>
  <c r="O7" i="1"/>
  <c r="O6" i="1"/>
  <c r="O5" i="1"/>
  <c r="B60" i="1"/>
  <c r="B58" i="1"/>
  <c r="B51" i="1"/>
  <c r="B57" i="1"/>
  <c r="B50" i="1"/>
  <c r="D57" i="1" l="1"/>
  <c r="B52" i="1"/>
  <c r="B59" i="1" s="1"/>
  <c r="D59" i="1" s="1"/>
  <c r="D58" i="1"/>
  <c r="D60" i="1"/>
</calcChain>
</file>

<file path=xl/sharedStrings.xml><?xml version="1.0" encoding="utf-8"?>
<sst xmlns="http://schemas.openxmlformats.org/spreadsheetml/2006/main" count="224" uniqueCount="150">
  <si>
    <t>Revenue</t>
  </si>
  <si>
    <t>Segment</t>
  </si>
  <si>
    <t>Sum of Net Sales</t>
  </si>
  <si>
    <t>Country</t>
  </si>
  <si>
    <t>Product</t>
  </si>
  <si>
    <t>Month</t>
  </si>
  <si>
    <t>Months</t>
  </si>
  <si>
    <t>Actual</t>
  </si>
  <si>
    <t>Budget</t>
  </si>
  <si>
    <r>
      <t>var</t>
    </r>
    <r>
      <rPr>
        <strike/>
        <sz val="11"/>
        <color theme="1"/>
        <rFont val="Calibri"/>
        <family val="2"/>
        <scheme val="minor"/>
      </rPr>
      <t>%</t>
    </r>
  </si>
  <si>
    <t>var%</t>
  </si>
  <si>
    <t>Year</t>
  </si>
  <si>
    <t>Customer</t>
  </si>
  <si>
    <t>Government</t>
  </si>
  <si>
    <t>Japan</t>
  </si>
  <si>
    <t>City Cruiser</t>
  </si>
  <si>
    <t>Jan</t>
  </si>
  <si>
    <t>Abigail Clark</t>
  </si>
  <si>
    <t>Small Business</t>
  </si>
  <si>
    <t>France</t>
  </si>
  <si>
    <t>Road Racer</t>
  </si>
  <si>
    <t>Feb</t>
  </si>
  <si>
    <t>Abigail Garcia</t>
  </si>
  <si>
    <t>Enterprise</t>
  </si>
  <si>
    <t>England</t>
  </si>
  <si>
    <t>Speedster</t>
  </si>
  <si>
    <t>Mar</t>
  </si>
  <si>
    <t>Grand Total</t>
  </si>
  <si>
    <t>Abigail Lewis</t>
  </si>
  <si>
    <t>Midmarket</t>
  </si>
  <si>
    <t>Italy</t>
  </si>
  <si>
    <t>Trail Master</t>
  </si>
  <si>
    <t>Apr</t>
  </si>
  <si>
    <t>Abigail Martin</t>
  </si>
  <si>
    <t>Channel Partners</t>
  </si>
  <si>
    <t>Germany</t>
  </si>
  <si>
    <t>X-Terrain</t>
  </si>
  <si>
    <t>May</t>
  </si>
  <si>
    <t>Abigail Phillips</t>
  </si>
  <si>
    <t>USA</t>
  </si>
  <si>
    <t>Yellow Edition</t>
  </si>
  <si>
    <t>Jun</t>
  </si>
  <si>
    <t>Abigail Robinson</t>
  </si>
  <si>
    <t>India</t>
  </si>
  <si>
    <t>Jul</t>
  </si>
  <si>
    <t>Aiden Anderson</t>
  </si>
  <si>
    <t>Canada</t>
  </si>
  <si>
    <t>Aug</t>
  </si>
  <si>
    <t>Aiden Clark</t>
  </si>
  <si>
    <t>Sep</t>
  </si>
  <si>
    <t>Aiden Garcia</t>
  </si>
  <si>
    <t>Oct</t>
  </si>
  <si>
    <t>Aiden Hill</t>
  </si>
  <si>
    <t>Nov</t>
  </si>
  <si>
    <t>Aiden Lewis</t>
  </si>
  <si>
    <t>Dec</t>
  </si>
  <si>
    <t>Aiden Martin</t>
  </si>
  <si>
    <t>Aiden Perez</t>
  </si>
  <si>
    <t>Alexander Hill</t>
  </si>
  <si>
    <t>Alexander Perez</t>
  </si>
  <si>
    <t>PROFIT</t>
  </si>
  <si>
    <t>Amelia Garcia</t>
  </si>
  <si>
    <t>Amelia Hill</t>
  </si>
  <si>
    <t>Sum of Profit</t>
  </si>
  <si>
    <t>Amelia Martin</t>
  </si>
  <si>
    <t>Amelia Perez</t>
  </si>
  <si>
    <t>Amelia Phillips</t>
  </si>
  <si>
    <t>Amelia Wilson</t>
  </si>
  <si>
    <t>Ava Davis</t>
  </si>
  <si>
    <t>Avery Anderson</t>
  </si>
  <si>
    <t>Avery Turner</t>
  </si>
  <si>
    <t>Benjamin Garcia</t>
  </si>
  <si>
    <t>Benjamin Hill</t>
  </si>
  <si>
    <t>Benjamin Lee</t>
  </si>
  <si>
    <t>Benjamin Martin</t>
  </si>
  <si>
    <t>Benjamin Martinez</t>
  </si>
  <si>
    <t>UNITS SOLD</t>
  </si>
  <si>
    <t>Benjamin Phillips</t>
  </si>
  <si>
    <t>Charlotte Anderson</t>
  </si>
  <si>
    <t>Sum of Units Sold</t>
  </si>
  <si>
    <t>Charlotte Davis</t>
  </si>
  <si>
    <t>Charlotte Garcia</t>
  </si>
  <si>
    <t>Charlotte Hill</t>
  </si>
  <si>
    <t>Charlotte Martin</t>
  </si>
  <si>
    <t>Charlotte White</t>
  </si>
  <si>
    <t>Elijah Martin</t>
  </si>
  <si>
    <t>Elijah Perez</t>
  </si>
  <si>
    <t>Elizabeth Green</t>
  </si>
  <si>
    <t>Elizabeth Martin</t>
  </si>
  <si>
    <t>Emily Clark</t>
  </si>
  <si>
    <t>Emily Garcia</t>
  </si>
  <si>
    <t>Emily Hill</t>
  </si>
  <si>
    <t>CALCULATIONS</t>
  </si>
  <si>
    <t>Emily Martin</t>
  </si>
  <si>
    <t>Emily Phillips</t>
  </si>
  <si>
    <t>Emma Johnson</t>
  </si>
  <si>
    <t>Profit</t>
  </si>
  <si>
    <t>Ethan Miller</t>
  </si>
  <si>
    <t>Harper Anderson</t>
  </si>
  <si>
    <t>Harper Davis</t>
  </si>
  <si>
    <t>Harper Hill</t>
  </si>
  <si>
    <t>KPIs</t>
  </si>
  <si>
    <t>Harper Martin</t>
  </si>
  <si>
    <t>Target</t>
  </si>
  <si>
    <r>
      <rPr>
        <b/>
        <sz val="11"/>
        <color theme="1"/>
        <rFont val="Calibri"/>
        <family val="2"/>
        <scheme val="minor"/>
      </rPr>
      <t>var</t>
    </r>
    <r>
      <rPr>
        <b/>
        <strike/>
        <sz val="11"/>
        <color theme="1"/>
        <rFont val="Calibri"/>
        <family val="2"/>
        <scheme val="minor"/>
      </rPr>
      <t>%</t>
    </r>
  </si>
  <si>
    <t>Harper Phillips</t>
  </si>
  <si>
    <t>Harper Turner</t>
  </si>
  <si>
    <t>Harper Wilson</t>
  </si>
  <si>
    <t>Profit Margin</t>
  </si>
  <si>
    <t>Henry Anderson</t>
  </si>
  <si>
    <t>Unit Sold</t>
  </si>
  <si>
    <t>Henry Garcia</t>
  </si>
  <si>
    <t>Henry Martin</t>
  </si>
  <si>
    <t>Henry Martinez</t>
  </si>
  <si>
    <t>Henry Phillips</t>
  </si>
  <si>
    <t>Henry Turner</t>
  </si>
  <si>
    <t>Isabella Wilson</t>
  </si>
  <si>
    <t>Jackson Hill</t>
  </si>
  <si>
    <t>Jackson Lewis</t>
  </si>
  <si>
    <t>Jackson Martinez</t>
  </si>
  <si>
    <t>Jackson Turner</t>
  </si>
  <si>
    <t>James Smith</t>
  </si>
  <si>
    <t>Liam Jones</t>
  </si>
  <si>
    <t>Logan Clark</t>
  </si>
  <si>
    <t>Logan Garcia</t>
  </si>
  <si>
    <t>Logan Jackson</t>
  </si>
  <si>
    <t>Logan Martin</t>
  </si>
  <si>
    <t>Logan Phillips</t>
  </si>
  <si>
    <t>Mason Taylor</t>
  </si>
  <si>
    <t>Mia Hill</t>
  </si>
  <si>
    <t>Mia Lewis</t>
  </si>
  <si>
    <t>Mia Thomas</t>
  </si>
  <si>
    <t>Mia Turner</t>
  </si>
  <si>
    <t>Mia White</t>
  </si>
  <si>
    <t>Michael Hill</t>
  </si>
  <si>
    <t>Michael Wilson</t>
  </si>
  <si>
    <t>Noah Williams</t>
  </si>
  <si>
    <t>Olivia Brown</t>
  </si>
  <si>
    <t>Samuel Hill</t>
  </si>
  <si>
    <t>Samuel Johnson</t>
  </si>
  <si>
    <t>Samuel Phillips</t>
  </si>
  <si>
    <t>Samuel Taylor</t>
  </si>
  <si>
    <t>Samuel Turner</t>
  </si>
  <si>
    <t>Samuel Wilson</t>
  </si>
  <si>
    <t>Sebastian Lee</t>
  </si>
  <si>
    <t>Sebastian Phillips</t>
  </si>
  <si>
    <t>Sofia Phillips</t>
  </si>
  <si>
    <t>Sofia Turner</t>
  </si>
  <si>
    <t>Sophia Anderson</t>
  </si>
  <si>
    <t>Sophia 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</si>
</sst>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₹&quot;\ * #,##0.00_ ;_ &quot;₹&quot;\ * \-#,##0.00_ ;_ &quot;₹&quot;\ * &quot;-&quot;??_ ;_ @_ "/>
    <numFmt numFmtId="164" formatCode="_-[$£-809]* #,##0.00_-;\-[$£-809]* #,##0.00_-;_-[$£-809]* &quot;-&quot;??_-;_-@_-"/>
    <numFmt numFmtId="165" formatCode="[$£-809]#,##0"/>
    <numFmt numFmtId="166" formatCode="[$£-809]#,##0;\-[$£-809]#,##0"/>
    <numFmt numFmtId="167" formatCode="0.0%"/>
    <numFmt numFmtId="168" formatCode="_ * #,##0_ ;_ * \-#,##0_ ;_ * &quot;-&quot;??_ ;_ @_ "/>
    <numFmt numFmtId="169" formatCode="[$£-809]#,##0.0;\-[$£-809]#,##0.0"/>
    <numFmt numFmtId="170" formatCode="\£#,##0,&quot;M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164" fontId="0" fillId="0" borderId="0" xfId="0" applyNumberFormat="1"/>
    <xf numFmtId="164" fontId="0" fillId="0" borderId="0" xfId="1" applyNumberFormat="1" applyFont="1"/>
    <xf numFmtId="164" fontId="0" fillId="0" borderId="0" xfId="0" applyNumberFormat="1" applyAlignment="1">
      <alignment horizontal="right"/>
    </xf>
    <xf numFmtId="165" fontId="0" fillId="0" borderId="0" xfId="0" applyNumberFormat="1"/>
    <xf numFmtId="164" fontId="0" fillId="3" borderId="0" xfId="0" applyNumberFormat="1" applyFill="1"/>
    <xf numFmtId="166" fontId="0" fillId="3" borderId="0" xfId="0" applyNumberFormat="1" applyFill="1" applyAlignment="1">
      <alignment horizontal="right"/>
    </xf>
    <xf numFmtId="166" fontId="0" fillId="3" borderId="0" xfId="0" applyNumberFormat="1" applyFill="1"/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8" fontId="0" fillId="0" borderId="0" xfId="0" applyNumberFormat="1"/>
    <xf numFmtId="169" fontId="0" fillId="0" borderId="0" xfId="0" applyNumberFormat="1"/>
    <xf numFmtId="0" fontId="3" fillId="0" borderId="1" xfId="0" applyFont="1" applyBorder="1" applyAlignment="1">
      <alignment horizontal="left"/>
    </xf>
    <xf numFmtId="166" fontId="3" fillId="0" borderId="0" xfId="0" applyNumberFormat="1" applyFont="1"/>
    <xf numFmtId="170" fontId="0" fillId="0" borderId="0" xfId="0" applyNumberFormat="1"/>
    <xf numFmtId="10" fontId="3" fillId="0" borderId="0" xfId="0" applyNumberFormat="1" applyFont="1"/>
    <xf numFmtId="170" fontId="3" fillId="4" borderId="1" xfId="0" applyNumberFormat="1" applyFont="1" applyFill="1" applyBorder="1"/>
    <xf numFmtId="10" fontId="0" fillId="0" borderId="0" xfId="2" applyNumberFormat="1" applyFont="1"/>
    <xf numFmtId="0" fontId="3" fillId="0" borderId="0" xfId="0" applyFont="1"/>
    <xf numFmtId="10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48"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9" formatCode="[$£-809]#,##0.0;\-[$£-809]#,##0.0"/>
    </dxf>
    <dxf>
      <numFmt numFmtId="166" formatCode="[$£-809]#,##0;\-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71" formatCode="[$£-809]#,##0.00;\-[$£-809]#,##0.00"/>
    </dxf>
    <dxf>
      <numFmt numFmtId="165" formatCode="[$£-809]#,##0"/>
    </dxf>
    <dxf>
      <numFmt numFmtId="165" formatCode="[$£-809]#,##0"/>
    </dxf>
    <dxf>
      <numFmt numFmtId="171" formatCode="[$£-809]#,##0.00;\-[$£-809]#,##0.0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9" formatCode="[$£-809]#,##0.0;\-[$£-809]#,##0.0"/>
    </dxf>
    <dxf>
      <numFmt numFmtId="166" formatCode="[$£-809]#,##0;\-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  <dxf>
      <numFmt numFmtId="165" formatCode="[$£-8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7EE60CC3D615DB3/Documents/Sales_Data_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it" refreshedDate="46099.692249189815" createdVersion="8" refreshedVersion="8" minRefreshableVersion="3" recordCount="700" xr:uid="{6BFCE36F-473E-4243-B96C-189572B036E7}">
  <cacheSource type="worksheet">
    <worksheetSource name="Table336" r:id="rId2"/>
  </cacheSource>
  <cacheFields count="21">
    <cacheField name="Segment" numFmtId="0">
      <sharedItems count="5">
        <s v="Enterprise"/>
        <s v="Midmarket"/>
        <s v="Small Business"/>
        <s v="Government"/>
        <s v="Channel Partners"/>
      </sharedItems>
    </cacheField>
    <cacheField name="Country" numFmtId="0">
      <sharedItems count="8">
        <s v="USA"/>
        <s v="Canada"/>
        <s v="England"/>
        <s v="France"/>
        <s v="Germany"/>
        <s v="Italy"/>
        <s v="India"/>
        <s v="Japan"/>
      </sharedItems>
    </cacheField>
    <cacheField name="Product_Name" numFmtId="0">
      <sharedItems count="6">
        <s v="X-Terrain"/>
        <s v="City Cruiser"/>
        <s v="Speedster"/>
        <s v="Trail Master"/>
        <s v="Road Racer"/>
        <s v="Yellow Edition"/>
      </sharedItems>
    </cacheField>
    <cacheField name="Customer_ID" numFmtId="0">
      <sharedItems/>
    </cacheField>
    <cacheField name="Product_ID" numFmtId="0">
      <sharedItems/>
    </cacheField>
    <cacheField name="Customer_Name" numFmtId="0">
      <sharedItems count="94">
        <s v="James Smith"/>
        <s v="Emma Johnson"/>
        <s v="Noah Williams"/>
        <s v="Olivia Brown"/>
        <s v="Liam Jones"/>
        <s v="Ava Davis"/>
        <s v="Ethan Miller"/>
        <s v="Isabella Wilson"/>
        <s v="Mason Taylor"/>
        <s v="Sophia Anderson"/>
        <s v="Benjamin Martinez"/>
        <s v="Mia Thomas"/>
        <s v="Logan Jackson"/>
        <s v="Charlotte White"/>
        <s v="Samuel Taylor"/>
        <s v="Harper Davis"/>
        <s v="Henry Anderson"/>
        <s v="Amelia Garcia"/>
        <s v="Jackson Martinez"/>
        <s v="Abigail Robinson"/>
        <s v="Aiden Lewis"/>
        <s v="Emily Clark"/>
        <s v="Sebastian Lee"/>
        <s v="Elizabeth Green"/>
        <s v="Alexander Perez"/>
        <s v="Avery Turner"/>
        <s v="Michael Hill"/>
        <s v="Sofia Phillips"/>
        <s v="Elijah Martin"/>
        <s v="Sophia Turner"/>
        <s v="Benjamin Lee"/>
        <s v="Mia White"/>
        <s v="Logan Garcia"/>
        <s v="Charlotte Davis"/>
        <s v="Samuel Johnson"/>
        <s v="Harper Anderson"/>
        <s v="Henry Martinez"/>
        <s v="Amelia Wilson"/>
        <s v="Jackson Turner"/>
        <s v="Abigail Lewis"/>
        <s v="Aiden Clark"/>
        <s v="Emily Garcia"/>
        <s v="Sebastian Phillips"/>
        <s v="Elizabeth Martin"/>
        <s v="Alexander Hill"/>
        <s v="Avery Anderson"/>
        <s v="Michael Wilson"/>
        <s v="Sofia Turner"/>
        <s v="Elijah Perez"/>
        <s v="Mia Hill"/>
        <s v="Logan Phillips"/>
        <s v="Charlotte Martin"/>
        <s v="Samuel Hill"/>
        <s v="Harper Wilson"/>
        <s v="Henry Turner"/>
        <s v="Amelia Perez"/>
        <s v="Jackson Hill"/>
        <s v="Abigail Phillips"/>
        <s v="Aiden Martin"/>
        <s v="Benjamin Martin"/>
        <s v="Mia Lewis"/>
        <s v="Logan Clark"/>
        <s v="Charlotte Anderson"/>
        <s v="Samuel Wilson"/>
        <s v="Harper Turner"/>
        <s v="Henry Phillips"/>
        <s v="Amelia Martin"/>
        <s v="Abigail Garcia"/>
        <s v="Aiden Perez"/>
        <s v="Emily Hill"/>
        <s v="Benjamin Phillips"/>
        <s v="Mia Turner"/>
        <s v="Logan Martin"/>
        <s v="Charlotte Garcia"/>
        <s v="Samuel Phillips"/>
        <s v="Harper Hill"/>
        <s v="Jackson Lewis"/>
        <s v="Abigail Clark"/>
        <s v="Aiden Anderson"/>
        <s v="Emily Martin"/>
        <s v="Benjamin Garcia"/>
        <s v="Charlotte Hill"/>
        <s v="Samuel Turner"/>
        <s v="Harper Martin"/>
        <s v="Henry Garcia"/>
        <s v="Amelia Phillips"/>
        <s v="Abigail Martin"/>
        <s v="Aiden Garcia"/>
        <s v="Emily Phillips"/>
        <s v="Benjamin Hill"/>
        <s v="Harper Phillips"/>
        <s v="Henry Martin"/>
        <s v="Amelia Hill"/>
        <s v="Aiden Hill"/>
      </sharedItems>
    </cacheField>
    <cacheField name="Discount Band" numFmtId="0">
      <sharedItems/>
    </cacheField>
    <cacheField name="Date" numFmtId="14">
      <sharedItems containsSemiMixedTypes="0" containsNonDate="0" containsDate="1" containsString="0" minDate="2020-01-02T00:00:00" maxDate="2022-01-01T00:00:00"/>
    </cacheField>
    <cacheField name="Month" numFmtId="0">
      <sharedItems count="12">
        <s v="Sep"/>
        <s v="Jan"/>
        <s v="Aug"/>
        <s v="Jul"/>
        <s v="Feb"/>
        <s v="Apr"/>
        <s v="Nov"/>
        <s v="Dec"/>
        <s v="Mar"/>
        <s v="Oct"/>
        <s v="May"/>
        <s v="Jun"/>
      </sharedItems>
    </cacheField>
    <cacheField name="Quarter" numFmtId="0">
      <sharedItems count="4">
        <s v="Q3"/>
        <s v="Q1"/>
        <s v="Q2"/>
        <s v="Q4"/>
      </sharedItems>
    </cacheField>
    <cacheField name="Year" numFmtId="0">
      <sharedItems containsSemiMixedTypes="0" containsString="0" containsNumber="1" containsInteger="1" minValue="2020" maxValue="2021" count="2">
        <n v="2020"/>
        <n v="2021"/>
      </sharedItems>
    </cacheField>
    <cacheField name="Units Sold" numFmtId="168">
      <sharedItems containsSemiMixedTypes="0" containsString="0" containsNumber="1" containsInteger="1" minValue="240" maxValue="5391"/>
    </cacheField>
    <cacheField name="Manufacturing Price" numFmtId="0">
      <sharedItems containsSemiMixedTypes="0" containsString="0" containsNumber="1" containsInteger="1" minValue="4" maxValue="320"/>
    </cacheField>
    <cacheField name="Sale Price" numFmtId="0">
      <sharedItems containsSemiMixedTypes="0" containsString="0" containsNumber="1" containsInteger="1" minValue="11" maxValue="525"/>
    </cacheField>
    <cacheField name="Gross Sales" numFmtId="168">
      <sharedItems containsSemiMixedTypes="0" containsString="0" containsNumber="1" containsInteger="1" minValue="3388" maxValue="2173500"/>
    </cacheField>
    <cacheField name="Discounts" numFmtId="168">
      <sharedItems containsSemiMixedTypes="0" containsString="0" containsNumber="1" minValue="0" maxValue="269403.75"/>
    </cacheField>
    <cacheField name="Net Sales" numFmtId="168">
      <sharedItems containsSemiMixedTypes="0" containsString="0" containsNumber="1" minValue="3116.96" maxValue="2086560" count="560">
        <n v="77832"/>
        <n v="15157"/>
        <n v="425700"/>
        <n v="1086750"/>
        <n v="19692"/>
        <n v="59386"/>
        <n v="961800"/>
        <n v="73703.520000000004"/>
        <n v="16376.58"/>
        <n v="264181.5"/>
        <n v="1335609"/>
        <n v="148151.51999999999"/>
        <n v="27333.9"/>
        <n v="42536.34"/>
        <n v="8766.4500000000007"/>
        <n v="113337"/>
        <n v="27747.72"/>
        <n v="367006.08"/>
        <n v="178897.04"/>
        <n v="474233.76"/>
        <n v="37784.879999999997"/>
        <n v="52067.4"/>
        <n v="26044.48"/>
        <n v="1831105.5"/>
        <n v="19198.2"/>
        <n v="164125.5"/>
        <n v="1197756"/>
        <n v="19031.400000000001"/>
        <n v="1097943"/>
        <n v="52071.54"/>
        <n v="22535.040000000001"/>
        <n v="59903.040000000001"/>
        <n v="25430.400000000001"/>
        <n v="36125.760000000002"/>
        <n v="17774.400000000001"/>
        <n v="40119.360000000001"/>
        <n v="91440"/>
        <n v="211176"/>
        <n v="1075536"/>
        <n v="14535.95"/>
        <n v="29458.55"/>
        <n v="12738.55"/>
        <n v="430920"/>
        <n v="564300"/>
        <n v="735157.5"/>
        <n v="47509.5"/>
        <n v="150917"/>
        <n v="61617"/>
        <n v="26783.35"/>
        <n v="55477.15"/>
        <n v="35340"/>
        <n v="43263"/>
        <n v="78546"/>
        <n v="46682.28"/>
        <n v="3267.44"/>
        <n v="188030.07999999999"/>
        <n v="17412.560000000001"/>
        <n v="430332"/>
        <n v="619695"/>
        <n v="1229308.5"/>
        <n v="38013.599999999999"/>
        <n v="1236429"/>
        <n v="59445.599999999999"/>
        <n v="61407.9"/>
        <n v="12654.51"/>
        <n v="44494.92"/>
        <n v="524520"/>
        <n v="75228.63"/>
        <n v="564138"/>
        <n v="705172.5"/>
        <n v="55509.84"/>
        <n v="26086.5"/>
        <n v="47569.5"/>
        <n v="19697.400000000001"/>
        <n v="208584.12"/>
        <n v="637560"/>
        <n v="29256.92"/>
        <n v="1243725"/>
        <n v="23630.2"/>
        <n v="191682"/>
        <n v="401580"/>
        <n v="27324"/>
        <n v="7207.2"/>
        <n v="158067"/>
        <n v="381166.24"/>
        <n v="19349.330000000002"/>
        <n v="164209.5"/>
        <n v="34889.4"/>
        <n v="43914.78"/>
        <n v="24362.52"/>
        <n v="87851.4"/>
        <n v="6011.46"/>
        <n v="7500.6"/>
        <n v="300837.59999999998"/>
        <n v="366318"/>
        <n v="53820"/>
        <n v="1114965"/>
        <n v="388990.8"/>
        <n v="1060290"/>
        <n v="23036.760000000002"/>
        <n v="19320.12"/>
        <n v="38319.839999999997"/>
        <n v="31788.13"/>
        <n v="95853"/>
        <n v="89872.2"/>
        <n v="16089.42"/>
        <n v="192974.25"/>
        <n v="94037.4"/>
        <n v="190075.51999999999"/>
        <n v="4464.24"/>
        <n v="479610.56"/>
        <n v="54331.199999999997"/>
        <n v="563508"/>
        <n v="9229.44"/>
        <n v="345576"/>
        <n v="61893.919999999998"/>
        <n v="52477.919999999998"/>
        <n v="13833"/>
        <n v="15847.92"/>
        <n v="1223829"/>
        <n v="33261.839999999997"/>
        <n v="34008.699999999997"/>
        <n v="37430.639999999999"/>
        <n v="198543.04"/>
        <n v="547286.80000000005"/>
        <n v="19601.12"/>
        <n v="58627.92"/>
        <n v="41379.760000000002"/>
        <n v="41269.68"/>
        <n v="1041159"/>
        <n v="125001"/>
        <n v="1177641"/>
        <n v="693955.5"/>
        <n v="44386.32"/>
        <n v="8160"/>
        <n v="1074570"/>
        <n v="1151771.25"/>
        <n v="1181542.5"/>
        <n v="467574.8"/>
        <n v="566491"/>
        <n v="58260"/>
        <n v="47550"/>
        <n v="60122"/>
        <n v="24518"/>
        <n v="68172"/>
        <n v="953400"/>
        <n v="25415"/>
        <n v="54396"/>
        <n v="68370"/>
        <n v="33372"/>
        <n v="601412"/>
        <n v="517500"/>
        <n v="28325"/>
        <n v="16974"/>
        <n v="10500"/>
        <n v="26887"/>
        <n v="633675"/>
        <n v="7920"/>
        <n v="11660"/>
        <n v="68218"/>
        <n v="15092"/>
        <n v="65400"/>
        <n v="19712"/>
        <n v="407020"/>
        <n v="46674"/>
        <n v="636380"/>
        <n v="1080450"/>
        <n v="61308"/>
        <n v="1161450"/>
        <n v="1732500"/>
        <n v="42192"/>
        <n v="951844"/>
        <n v="22253"/>
        <n v="46242"/>
        <n v="51553.26"/>
        <n v="62731.35"/>
        <n v="13460.04"/>
        <n v="8352.6299999999992"/>
        <n v="17325.990000000002"/>
        <n v="39738.6"/>
        <n v="754677"/>
        <n v="33051.15"/>
        <n v="30899.88"/>
        <n v="57113.1"/>
        <n v="871101"/>
        <n v="1344073.5"/>
        <n v="60499.89"/>
        <n v="1230025.5"/>
        <n v="49034.7"/>
        <n v="23914.44"/>
        <n v="41373.089999999997"/>
        <n v="58707.99"/>
        <n v="162296.64000000001"/>
        <n v="175697.28"/>
        <n v="407230.56"/>
        <n v="20401.919999999998"/>
        <n v="1553013"/>
        <n v="137718.9"/>
        <n v="4726.26"/>
        <n v="206220.96"/>
        <n v="3441.24"/>
        <n v="588357"/>
        <n v="527026.5"/>
        <n v="389549.16"/>
        <n v="164157.84"/>
        <n v="27412.560000000001"/>
        <n v="1760619"/>
        <n v="24166.799999999999"/>
        <n v="55242.6"/>
        <n v="14605.92"/>
        <n v="63923.44"/>
        <n v="485982"/>
        <n v="914634"/>
        <n v="146286.56"/>
        <n v="1013859"/>
        <n v="603386"/>
        <n v="22332.240000000002"/>
        <n v="22949.64"/>
        <n v="1776054"/>
        <n v="137151"/>
        <n v="582561"/>
        <n v="503159.44"/>
        <n v="43600.2"/>
        <n v="33192.6"/>
        <n v="928577.12"/>
        <n v="90093.6"/>
        <n v="360985.5"/>
        <n v="40786.559999999998"/>
        <n v="25074.5"/>
        <n v="39826.26"/>
        <n v="6967.51"/>
        <n v="281563.84000000003"/>
        <n v="373290.92"/>
        <n v="1275016.5"/>
        <n v="388244.44"/>
        <n v="343566.24"/>
        <n v="28686.78"/>
        <n v="439669.96"/>
        <n v="1489774.5"/>
        <n v="40140.54"/>
        <n v="981688.5"/>
        <n v="1003222.5"/>
        <n v="29012.7"/>
        <n v="134471.1"/>
        <n v="51943.5"/>
        <n v="53808.959999999999"/>
        <n v="1047600"/>
        <n v="165816"/>
        <n v="52108.800000000003"/>
        <n v="963792"/>
        <n v="246535.67999999999"/>
        <n v="53866.559999999998"/>
        <n v="172177.92000000001"/>
        <n v="733104"/>
        <n v="1512864"/>
        <n v="2086560"/>
        <n v="647201.28000000003"/>
        <n v="5784.96"/>
        <n v="71683.199999999997"/>
        <n v="36489.599999999999"/>
        <n v="30378.240000000002"/>
        <n v="1316448"/>
        <n v="17953.919999999998"/>
        <n v="1127952"/>
        <n v="232638.72"/>
        <n v="1153152"/>
        <n v="17200.7"/>
        <n v="33722.15"/>
        <n v="49880.7"/>
        <n v="21109"/>
        <n v="23050.799999999999"/>
        <n v="38269.800000000003"/>
        <n v="22896.9"/>
        <n v="53466"/>
        <n v="508297.5"/>
        <n v="73175.649999999994"/>
        <n v="7147.8"/>
        <n v="31182.799999999999"/>
        <n v="828423.75"/>
        <n v="777267.19999999995"/>
        <n v="48051"/>
        <n v="44574"/>
        <n v="641174"/>
        <n v="511153.2"/>
        <n v="824220"/>
        <n v="29176.400000000001"/>
        <n v="360097.5"/>
        <n v="68696.399999999994"/>
        <n v="184493.8"/>
        <n v="91086"/>
        <n v="14552.1"/>
        <n v="75011.05"/>
        <n v="172884.8"/>
        <n v="96843"/>
        <n v="54007.5"/>
        <n v="641250"/>
        <n v="807975"/>
        <n v="330172.5"/>
        <n v="98608.82"/>
        <n v="37816.199999999997"/>
        <n v="73789.06"/>
        <n v="11404.08"/>
        <n v="52666.32"/>
        <n v="580356"/>
        <n v="864612"/>
        <n v="55294.559999999998"/>
        <n v="885832.5"/>
        <n v="201814.24"/>
        <n v="584236.31999999995"/>
        <n v="39694.32"/>
        <n v="18591.32"/>
        <n v="421477.2"/>
        <n v="994402.5"/>
        <n v="57033.56"/>
        <n v="45229.04"/>
        <n v="29922.080000000002"/>
        <n v="33868.199999999997"/>
        <n v="16544"/>
        <n v="14597.28"/>
        <n v="37849.14"/>
        <n v="47005.919999999998"/>
        <n v="47039.4"/>
        <n v="32384.46"/>
        <n v="13933.26"/>
        <n v="6710.88"/>
        <n v="19416.54"/>
        <n v="34919.64"/>
        <n v="1031672.25"/>
        <n v="225153"/>
        <n v="1095214.5"/>
        <n v="66150.899999999994"/>
        <n v="854577"/>
        <n v="737125.44"/>
        <n v="53924.19"/>
        <n v="51391.8"/>
        <n v="833233.5"/>
        <n v="20394.900000000001"/>
        <n v="437799.36"/>
        <n v="688851"/>
        <n v="65168.82"/>
        <n v="481693.5"/>
        <n v="1379376"/>
        <n v="345134.16"/>
        <n v="1684950.75"/>
        <n v="37441.800000000003"/>
        <n v="5930.32"/>
        <n v="42448.800000000003"/>
        <n v="3116.96"/>
        <n v="319630.08000000002"/>
        <n v="12442.08"/>
        <n v="789222"/>
        <n v="63501.16"/>
        <n v="23460"/>
        <n v="21362.400000000001"/>
        <n v="775836"/>
        <n v="18049.48"/>
        <n v="231247.52"/>
        <n v="15291.32"/>
        <n v="13297.68"/>
        <n v="45236.4"/>
        <n v="1222128"/>
        <n v="8237.68"/>
        <n v="19410.16"/>
        <n v="64059.6"/>
        <n v="99139.199999999997"/>
        <n v="11890.08"/>
        <n v="35298.559999999998"/>
        <n v="28396.720000000001"/>
        <n v="315468"/>
        <n v="332787"/>
        <n v="220731"/>
        <n v="244398"/>
        <n v="1060254"/>
        <n v="50342.400000000001"/>
        <n v="14462.4"/>
        <n v="537673.5"/>
        <n v="1868548.5"/>
        <n v="955022.25"/>
        <n v="45618.3"/>
        <n v="574144.48"/>
        <n v="1260441"/>
        <n v="1385475"/>
        <n v="92301.3"/>
        <n v="30808.959999999999"/>
        <n v="650695.5"/>
        <n v="6153.42"/>
        <n v="1864044"/>
        <n v="749112"/>
        <n v="116334.39999999999"/>
        <n v="433174.56"/>
        <n v="727613.25"/>
        <n v="38443.86"/>
        <n v="1306714.5"/>
        <n v="774910.5"/>
        <n v="17297.28"/>
        <n v="917280"/>
        <n v="179976.16"/>
        <n v="1187208.75"/>
        <n v="55500.9"/>
        <n v="21730.799999999999"/>
        <n v="9839.83"/>
        <n v="31056.48"/>
        <n v="6256.25"/>
        <n v="31886.400000000001"/>
        <n v="34015.800000000003"/>
        <n v="4324.32"/>
        <n v="38656.800000000003"/>
        <n v="66013.22"/>
        <n v="40960.01"/>
        <n v="27660.6"/>
        <n v="699642"/>
        <n v="1311660"/>
        <n v="51460.2"/>
        <n v="63315"/>
        <n v="287145"/>
        <n v="7803"/>
        <n v="16911.900000000001"/>
        <n v="12668.4"/>
        <n v="19623.599999999999"/>
        <n v="362407.5"/>
        <n v="324018"/>
        <n v="31660.2"/>
        <n v="414720"/>
        <n v="69202.8"/>
        <n v="15918.3"/>
        <n v="1591380"/>
        <n v="209790"/>
        <n v="513522"/>
        <n v="117594"/>
        <n v="1270080"/>
        <n v="1454760"/>
        <n v="68445"/>
        <n v="66069"/>
        <n v="50041.8"/>
        <n v="400680"/>
        <n v="29742.02"/>
        <n v="9436.67"/>
        <n v="9067.32"/>
        <n v="18552.05"/>
        <n v="78584.33"/>
        <n v="37230.479999999996"/>
        <n v="443887.5"/>
        <n v="1350886.5"/>
        <n v="490080.28"/>
        <n v="429402.75"/>
        <n v="52976.36"/>
        <n v="419724"/>
        <n v="35938.199999999997"/>
        <n v="1179806.25"/>
        <n v="77392.62"/>
        <n v="46634.22"/>
        <n v="76709.100000000006"/>
        <n v="48739.07"/>
        <n v="656419.5"/>
        <n v="21244.3"/>
        <n v="33337.620000000003"/>
        <n v="111267.8"/>
        <n v="635481.36"/>
        <n v="84238.5"/>
        <n v="287790.40000000002"/>
        <n v="491106"/>
        <n v="427993.28"/>
        <n v="65314.479999999996"/>
        <n v="16434.88"/>
        <n v="842688"/>
        <n v="28110.720000000001"/>
        <n v="31760.080000000002"/>
        <n v="1660824"/>
        <n v="28670.400000000001"/>
        <n v="883806"/>
        <n v="645876"/>
        <n v="1021680"/>
        <n v="663432"/>
        <n v="39072"/>
        <n v="773388"/>
        <n v="546546"/>
        <n v="40091.040000000001"/>
        <n v="94095.76"/>
        <n v="473820.16000000003"/>
        <n v="149688"/>
        <n v="39746.080000000002"/>
        <n v="79886.399999999994"/>
        <n v="50577.120000000003"/>
        <n v="48496.800000000003"/>
        <n v="17317.52"/>
        <n v="61630.8"/>
        <n v="506079"/>
        <n v="981099"/>
        <n v="538508.25"/>
        <n v="14910.06"/>
        <n v="11353.5"/>
        <n v="70626.600000000006"/>
        <n v="39123.9"/>
        <n v="16517.82"/>
        <n v="378972"/>
        <n v="82710.899999999994"/>
        <n v="84825"/>
        <n v="1442416.5"/>
        <n v="310764"/>
        <n v="10727.1"/>
        <n v="30958.95"/>
        <n v="37578.78"/>
        <n v="195489"/>
        <n v="19042.560000000001"/>
        <n v="95987.97"/>
        <n v="13665.96"/>
        <n v="7704.72"/>
        <n v="325647.96000000002"/>
        <n v="79851"/>
        <n v="53973.599999999999"/>
        <n v="3178.56"/>
        <n v="3329.92"/>
        <n v="6606.52"/>
        <n v="75181.2"/>
        <n v="41933.599999999999"/>
        <n v="25882.560000000001"/>
        <n v="371907"/>
        <n v="694665"/>
        <n v="469044"/>
        <n v="35920.479999999996"/>
        <n v="54592.800000000003"/>
        <n v="1206859.5"/>
        <n v="649708.5"/>
        <n v="108360"/>
        <n v="4408.3599999999997"/>
        <n v="8049.6"/>
        <n v="54133.56"/>
        <n v="19648.419999999998"/>
        <n v="379260"/>
        <n v="637518"/>
        <n v="305575.2"/>
        <n v="18756.599999999999"/>
        <n v="1142424"/>
        <n v="32958.639999999999"/>
        <n v="1179963"/>
        <n v="412542"/>
        <n v="551813.84"/>
        <n v="45975.6"/>
        <n v="225158.2"/>
        <n v="530536"/>
        <n v="208059.6"/>
        <n v="250537.5"/>
        <n v="35445"/>
        <n v="37868.35"/>
        <n v="28442.7"/>
        <n v="1526621.25"/>
        <n v="60038.05"/>
        <n v="27565.5"/>
        <n v="16784.099999999999"/>
        <n v="8976"/>
        <n v="9180"/>
        <n v="66294.05"/>
        <n v="127200.8"/>
        <n v="26494.5"/>
        <n v="11534.5"/>
        <n v="105787.6"/>
        <n v="1136025"/>
        <n v="15352.7"/>
        <n v="8115.7999999999993"/>
        <n v="33155.1"/>
      </sharedItems>
    </cacheField>
    <cacheField name="Sales ('000)" numFmtId="0">
      <sharedItems containsSemiMixedTypes="0" containsString="0" containsNumber="1" minValue="1.6550799999999999" maxValue="1159.2"/>
    </cacheField>
    <cacheField name="COGS" numFmtId="168">
      <sharedItems containsSemiMixedTypes="0" containsString="0" containsNumber="1" containsInteger="1" minValue="1028" maxValue="1620160"/>
    </cacheField>
    <cacheField name="Profit" numFmtId="168">
      <sharedItems containsSemiMixedTypes="0" containsString="0" containsNumber="1" minValue="-1337796.24" maxValue="2036880"/>
    </cacheField>
    <cacheField name="Profit ('000)" numFmtId="168">
      <sharedItems containsSemiMixedTypes="0" containsString="0" containsNumber="1" minValue="-2408.0332319999998" maxValue="3666.384"/>
    </cacheField>
  </cacheFields>
  <extLst>
    <ext xmlns:x14="http://schemas.microsoft.com/office/spreadsheetml/2009/9/main" uri="{725AE2AE-9491-48be-B2B4-4EB974FC3084}">
      <x14:pivotCacheDefinition pivotCacheId="8499496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s v="CUST_ID_001"/>
    <s v="PROD_ID_001"/>
    <x v="0"/>
    <s v="None"/>
    <d v="2020-09-22T00:00:00"/>
    <x v="0"/>
    <x v="0"/>
    <x v="0"/>
    <n v="414"/>
    <n v="6"/>
    <n v="188"/>
    <n v="77832"/>
    <n v="0"/>
    <x v="0"/>
    <n v="43.125"/>
    <n v="2484"/>
    <n v="75348"/>
    <n v="135.62639999999999"/>
  </r>
  <r>
    <x v="1"/>
    <x v="1"/>
    <x v="1"/>
    <s v="CUST_ID_002"/>
    <s v="PROD_ID_002"/>
    <x v="1"/>
    <s v="None"/>
    <d v="2020-01-11T00:00:00"/>
    <x v="1"/>
    <x v="1"/>
    <x v="0"/>
    <n v="659"/>
    <n v="12"/>
    <n v="23"/>
    <n v="15157"/>
    <n v="0"/>
    <x v="1"/>
    <n v="8.2349999999999994"/>
    <n v="7908"/>
    <n v="7249"/>
    <n v="13.0482"/>
  </r>
  <r>
    <x v="2"/>
    <x v="2"/>
    <x v="1"/>
    <s v="CUST_ID_003"/>
    <s v="PROD_ID_002"/>
    <x v="2"/>
    <s v="None"/>
    <d v="2021-01-27T00:00:00"/>
    <x v="1"/>
    <x v="1"/>
    <x v="1"/>
    <n v="946"/>
    <n v="12"/>
    <n v="450"/>
    <n v="425700"/>
    <n v="0"/>
    <x v="2"/>
    <n v="236.4"/>
    <n v="11352"/>
    <n v="414348"/>
    <n v="745.82640000000004"/>
  </r>
  <r>
    <x v="3"/>
    <x v="3"/>
    <x v="1"/>
    <s v="CUST_ID_004"/>
    <s v="PROD_ID_002"/>
    <x v="3"/>
    <s v="None"/>
    <d v="2020-08-01T00:00:00"/>
    <x v="2"/>
    <x v="0"/>
    <x v="0"/>
    <n v="2070"/>
    <n v="12"/>
    <n v="525"/>
    <n v="1086750"/>
    <n v="0"/>
    <x v="3"/>
    <n v="603.75"/>
    <n v="24840"/>
    <n v="1061910"/>
    <n v="1911.4379999999999"/>
  </r>
  <r>
    <x v="4"/>
    <x v="4"/>
    <x v="1"/>
    <s v="CUST_ID_005"/>
    <s v="PROD_ID_002"/>
    <x v="4"/>
    <s v="None"/>
    <d v="2021-07-08T00:00:00"/>
    <x v="3"/>
    <x v="0"/>
    <x v="1"/>
    <n v="1094"/>
    <n v="12"/>
    <n v="18"/>
    <n v="19692"/>
    <n v="0"/>
    <x v="4"/>
    <n v="10.944000000000001"/>
    <n v="13128"/>
    <n v="6564"/>
    <n v="11.815199999999999"/>
  </r>
  <r>
    <x v="1"/>
    <x v="5"/>
    <x v="1"/>
    <s v="CUST_ID_006"/>
    <s v="PROD_ID_002"/>
    <x v="5"/>
    <s v="None"/>
    <d v="2021-09-28T00:00:00"/>
    <x v="0"/>
    <x v="0"/>
    <x v="1"/>
    <n v="2582"/>
    <n v="12"/>
    <n v="23"/>
    <n v="59386"/>
    <n v="0"/>
    <x v="5"/>
    <n v="32.28"/>
    <n v="30984"/>
    <n v="28402"/>
    <n v="51.123599999999996"/>
  </r>
  <r>
    <x v="0"/>
    <x v="6"/>
    <x v="2"/>
    <s v="CUST_ID_007"/>
    <s v="PROD_ID_003"/>
    <x v="6"/>
    <s v="None"/>
    <d v="2020-09-26T00:00:00"/>
    <x v="0"/>
    <x v="0"/>
    <x v="0"/>
    <n v="414"/>
    <n v="148"/>
    <n v="188"/>
    <n v="77832"/>
    <n v="0"/>
    <x v="0"/>
    <n v="43.125"/>
    <n v="61272"/>
    <n v="16560"/>
    <n v="29.808"/>
  </r>
  <r>
    <x v="3"/>
    <x v="7"/>
    <x v="3"/>
    <s v="CUST_ID_008"/>
    <s v="PROD_ID_004"/>
    <x v="7"/>
    <s v="None"/>
    <d v="2020-02-11T00:00:00"/>
    <x v="4"/>
    <x v="1"/>
    <x v="0"/>
    <n v="1832"/>
    <n v="308"/>
    <n v="525"/>
    <n v="961800"/>
    <n v="0"/>
    <x v="6"/>
    <n v="534.45000000000005"/>
    <n v="564256"/>
    <n v="397544"/>
    <n v="715.57920000000001"/>
  </r>
  <r>
    <x v="0"/>
    <x v="0"/>
    <x v="4"/>
    <s v="CUST_ID_009"/>
    <s v="PROD_ID_005"/>
    <x v="8"/>
    <s v="Low"/>
    <d v="2021-01-12T00:00:00"/>
    <x v="1"/>
    <x v="1"/>
    <x v="1"/>
    <n v="396"/>
    <n v="4"/>
    <n v="188"/>
    <n v="74448"/>
    <n v="744.48"/>
    <x v="7"/>
    <n v="40.837499999999999"/>
    <n v="1584"/>
    <n v="72119.520000000004"/>
    <n v="129.815136"/>
  </r>
  <r>
    <x v="4"/>
    <x v="1"/>
    <x v="4"/>
    <s v="CUST_ID_010"/>
    <s v="PROD_ID_005"/>
    <x v="9"/>
    <s v="Low"/>
    <d v="2021-04-06T00:00:00"/>
    <x v="5"/>
    <x v="2"/>
    <x v="1"/>
    <n v="919"/>
    <n v="4"/>
    <n v="18"/>
    <n v="16542"/>
    <n v="165.42000000000002"/>
    <x v="8"/>
    <n v="9.1000800000000002"/>
    <n v="3676"/>
    <n v="12700.58"/>
    <n v="22.861044"/>
  </r>
  <r>
    <x v="2"/>
    <x v="2"/>
    <x v="4"/>
    <s v="CUST_ID_011"/>
    <s v="PROD_ID_005"/>
    <x v="10"/>
    <s v="Low"/>
    <d v="2020-11-19T00:00:00"/>
    <x v="6"/>
    <x v="3"/>
    <x v="0"/>
    <n v="593"/>
    <n v="4"/>
    <n v="450"/>
    <n v="266850"/>
    <n v="2668.5"/>
    <x v="9"/>
    <n v="146.71799999999999"/>
    <n v="2372"/>
    <n v="261809.5"/>
    <n v="471.25709999999998"/>
  </r>
  <r>
    <x v="2"/>
    <x v="3"/>
    <x v="0"/>
    <s v="CUST_ID_012"/>
    <s v="PROD_ID_001"/>
    <x v="11"/>
    <s v="Low"/>
    <d v="2020-12-20T00:00:00"/>
    <x v="7"/>
    <x v="3"/>
    <x v="0"/>
    <n v="2998"/>
    <n v="6"/>
    <n v="450"/>
    <n v="1349100"/>
    <n v="13491"/>
    <x v="10"/>
    <n v="741.90599999999995"/>
    <n v="17988"/>
    <n v="1317621"/>
    <n v="2371.7177999999999"/>
  </r>
  <r>
    <x v="0"/>
    <x v="4"/>
    <x v="0"/>
    <s v="CUST_ID_013"/>
    <s v="PROD_ID_001"/>
    <x v="12"/>
    <s v="Low"/>
    <d v="2020-02-27T00:00:00"/>
    <x v="4"/>
    <x v="1"/>
    <x v="0"/>
    <n v="796"/>
    <n v="6"/>
    <n v="188"/>
    <n v="149648"/>
    <n v="1496.48"/>
    <x v="11"/>
    <n v="82.046250000000001"/>
    <n v="4776"/>
    <n v="143375.51999999999"/>
    <n v="258.07593599999996"/>
  </r>
  <r>
    <x v="4"/>
    <x v="5"/>
    <x v="1"/>
    <s v="CUST_ID_014"/>
    <s v="PROD_ID_002"/>
    <x v="13"/>
    <s v="Low"/>
    <d v="2021-07-10T00:00:00"/>
    <x v="3"/>
    <x v="0"/>
    <x v="1"/>
    <n v="919"/>
    <n v="12"/>
    <n v="18"/>
    <n v="16542"/>
    <n v="165.42000000000002"/>
    <x v="8"/>
    <n v="9.1000800000000002"/>
    <n v="11028"/>
    <n v="5348.58"/>
    <n v="9.6274439999999988"/>
  </r>
  <r>
    <x v="0"/>
    <x v="6"/>
    <x v="2"/>
    <s v="CUST_ID_015"/>
    <s v="PROD_ID_003"/>
    <x v="14"/>
    <s v="Low"/>
    <d v="2021-03-29T00:00:00"/>
    <x v="8"/>
    <x v="1"/>
    <x v="1"/>
    <n v="796"/>
    <n v="148"/>
    <n v="188"/>
    <n v="149648"/>
    <n v="1496.48"/>
    <x v="11"/>
    <n v="82.046250000000001"/>
    <n v="117808"/>
    <n v="30343.51999999999"/>
    <n v="54.618335999999978"/>
  </r>
  <r>
    <x v="3"/>
    <x v="7"/>
    <x v="2"/>
    <s v="CUST_ID_016"/>
    <s v="PROD_ID_003"/>
    <x v="15"/>
    <s v="Low"/>
    <d v="2021-10-19T00:00:00"/>
    <x v="9"/>
    <x v="3"/>
    <x v="1"/>
    <n v="2510"/>
    <n v="148"/>
    <n v="11"/>
    <n v="27610"/>
    <n v="276.10000000000002"/>
    <x v="12"/>
    <n v="14.49756"/>
    <n v="371480"/>
    <n v="-344146.1"/>
    <n v="-619.4629799999999"/>
  </r>
  <r>
    <x v="2"/>
    <x v="0"/>
    <x v="3"/>
    <s v="CUST_ID_017"/>
    <s v="PROD_ID_004"/>
    <x v="16"/>
    <s v="Low"/>
    <d v="2021-07-31T00:00:00"/>
    <x v="3"/>
    <x v="0"/>
    <x v="1"/>
    <n v="593"/>
    <n v="308"/>
    <n v="450"/>
    <n v="266850"/>
    <n v="2668.5"/>
    <x v="9"/>
    <n v="146.71799999999999"/>
    <n v="182644"/>
    <n v="81537.5"/>
    <n v="146.76749999999998"/>
  </r>
  <r>
    <x v="4"/>
    <x v="1"/>
    <x v="5"/>
    <s v="CUST_ID_018"/>
    <s v="PROD_ID_006"/>
    <x v="17"/>
    <s v="Low"/>
    <d v="2021-03-29T00:00:00"/>
    <x v="8"/>
    <x v="1"/>
    <x v="1"/>
    <n v="2387"/>
    <n v="320"/>
    <n v="18"/>
    <n v="42966"/>
    <n v="429.66"/>
    <x v="13"/>
    <n v="23.62932"/>
    <n v="763840"/>
    <n v="-721303.66"/>
    <n v="-1298.3465880000001"/>
  </r>
  <r>
    <x v="1"/>
    <x v="2"/>
    <x v="5"/>
    <s v="CUST_ID_019"/>
    <s v="PROD_ID_006"/>
    <x v="18"/>
    <s v="Low"/>
    <d v="2021-07-27T00:00:00"/>
    <x v="3"/>
    <x v="0"/>
    <x v="1"/>
    <n v="385"/>
    <n v="320"/>
    <n v="23"/>
    <n v="8855"/>
    <n v="88.55"/>
    <x v="14"/>
    <n v="4.7668500000000007"/>
    <n v="123200"/>
    <n v="-114433.55"/>
    <n v="-205.98039"/>
  </r>
  <r>
    <x v="2"/>
    <x v="3"/>
    <x v="4"/>
    <s v="CUST_ID_020"/>
    <s v="PROD_ID_005"/>
    <x v="19"/>
    <s v="Low"/>
    <d v="2020-08-30T00:00:00"/>
    <x v="2"/>
    <x v="0"/>
    <x v="0"/>
    <n v="257"/>
    <n v="4"/>
    <n v="450"/>
    <n v="115650"/>
    <n v="2313"/>
    <x v="15"/>
    <n v="62.915999999999997"/>
    <n v="1028"/>
    <n v="112309"/>
    <n v="202.15619999999998"/>
  </r>
  <r>
    <x v="3"/>
    <x v="4"/>
    <x v="4"/>
    <s v="CUST_ID_021"/>
    <s v="PROD_ID_005"/>
    <x v="20"/>
    <s v="Low"/>
    <d v="2020-10-15T00:00:00"/>
    <x v="9"/>
    <x v="3"/>
    <x v="0"/>
    <n v="2574"/>
    <n v="4"/>
    <n v="11"/>
    <n v="28314"/>
    <n v="566.28"/>
    <x v="16"/>
    <n v="14.714700000000001"/>
    <n v="10296"/>
    <n v="17451.72"/>
    <n v="31.413095999999999"/>
  </r>
  <r>
    <x v="0"/>
    <x v="5"/>
    <x v="0"/>
    <s v="CUST_ID_022"/>
    <s v="PROD_ID_001"/>
    <x v="21"/>
    <s v="Low"/>
    <d v="2021-10-30T00:00:00"/>
    <x v="9"/>
    <x v="3"/>
    <x v="1"/>
    <n v="1992"/>
    <n v="6"/>
    <n v="188"/>
    <n v="374496"/>
    <n v="7489.92"/>
    <x v="17"/>
    <n v="203.35"/>
    <n v="11952"/>
    <n v="355054.08000000002"/>
    <n v="639.09734400000002"/>
  </r>
  <r>
    <x v="0"/>
    <x v="6"/>
    <x v="1"/>
    <s v="CUST_ID_023"/>
    <s v="PROD_ID_002"/>
    <x v="22"/>
    <s v="Low"/>
    <d v="2020-12-10T00:00:00"/>
    <x v="7"/>
    <x v="3"/>
    <x v="0"/>
    <n v="971"/>
    <n v="12"/>
    <n v="188"/>
    <n v="182548"/>
    <n v="3650.96"/>
    <x v="18"/>
    <n v="99.102500000000006"/>
    <n v="11652"/>
    <n v="167245.04"/>
    <n v="301.04107199999999"/>
  </r>
  <r>
    <x v="0"/>
    <x v="7"/>
    <x v="1"/>
    <s v="CUST_ID_024"/>
    <s v="PROD_ID_002"/>
    <x v="23"/>
    <s v="Low"/>
    <d v="2020-05-23T00:00:00"/>
    <x v="10"/>
    <x v="2"/>
    <x v="0"/>
    <n v="2574"/>
    <n v="12"/>
    <n v="188"/>
    <n v="483912"/>
    <n v="9678.24"/>
    <x v="19"/>
    <n v="262.76249999999999"/>
    <n v="30888"/>
    <n v="443345.76"/>
    <n v="798.02236800000003"/>
  </r>
  <r>
    <x v="4"/>
    <x v="0"/>
    <x v="1"/>
    <s v="CUST_ID_025"/>
    <s v="PROD_ID_002"/>
    <x v="24"/>
    <s v="Low"/>
    <d v="2020-02-18T00:00:00"/>
    <x v="4"/>
    <x v="1"/>
    <x v="0"/>
    <n v="2142"/>
    <n v="12"/>
    <n v="18"/>
    <n v="38556"/>
    <n v="771.12"/>
    <x v="20"/>
    <n v="20.991599999999998"/>
    <n v="25704"/>
    <n v="12080.879999999997"/>
    <n v="21.745583999999994"/>
  </r>
  <r>
    <x v="1"/>
    <x v="1"/>
    <x v="1"/>
    <s v="CUST_ID_026"/>
    <s v="PROD_ID_002"/>
    <x v="25"/>
    <s v="Low"/>
    <d v="2020-01-28T00:00:00"/>
    <x v="1"/>
    <x v="1"/>
    <x v="0"/>
    <n v="2310"/>
    <n v="12"/>
    <n v="23"/>
    <n v="53130"/>
    <n v="1062.5999999999999"/>
    <x v="21"/>
    <n v="28.297499999999999"/>
    <n v="27720"/>
    <n v="24347.4"/>
    <n v="43.825320000000005"/>
  </r>
  <r>
    <x v="3"/>
    <x v="2"/>
    <x v="1"/>
    <s v="CUST_ID_027"/>
    <s v="PROD_ID_002"/>
    <x v="26"/>
    <s v="Low"/>
    <d v="2021-12-21T00:00:00"/>
    <x v="7"/>
    <x v="3"/>
    <x v="1"/>
    <n v="2416"/>
    <n v="12"/>
    <n v="11"/>
    <n v="26576"/>
    <n v="531.52"/>
    <x v="22"/>
    <n v="13.80918"/>
    <n v="28992"/>
    <n v="-2947.5200000000004"/>
    <n v="-5.3055360000000009"/>
  </r>
  <r>
    <x v="3"/>
    <x v="3"/>
    <x v="2"/>
    <s v="CUST_ID_028"/>
    <s v="PROD_ID_003"/>
    <x v="27"/>
    <s v="Low"/>
    <d v="2021-01-13T00:00:00"/>
    <x v="1"/>
    <x v="1"/>
    <x v="1"/>
    <n v="3559"/>
    <n v="148"/>
    <n v="525"/>
    <n v="1868475"/>
    <n v="37369.5"/>
    <x v="23"/>
    <n v="1017.338"/>
    <n v="526732"/>
    <n v="1304373.5"/>
    <n v="2347.8723"/>
  </r>
  <r>
    <x v="0"/>
    <x v="4"/>
    <x v="2"/>
    <s v="CUST_ID_029"/>
    <s v="PROD_ID_003"/>
    <x v="28"/>
    <s v="Low"/>
    <d v="2021-11-08T00:00:00"/>
    <x v="6"/>
    <x v="3"/>
    <x v="1"/>
    <n v="971"/>
    <n v="148"/>
    <n v="188"/>
    <n v="182548"/>
    <n v="3650.96"/>
    <x v="18"/>
    <n v="99.102500000000006"/>
    <n v="143708"/>
    <n v="35189.040000000008"/>
    <n v="63.340272000000013"/>
  </r>
  <r>
    <x v="0"/>
    <x v="5"/>
    <x v="2"/>
    <s v="CUST_ID_030"/>
    <s v="PROD_ID_003"/>
    <x v="29"/>
    <s v="Low"/>
    <d v="2020-01-19T00:00:00"/>
    <x v="1"/>
    <x v="1"/>
    <x v="0"/>
    <n v="2574"/>
    <n v="148"/>
    <n v="188"/>
    <n v="483912"/>
    <n v="9678.24"/>
    <x v="19"/>
    <n v="262.76249999999999"/>
    <n v="380952"/>
    <n v="93281.760000000009"/>
    <n v="167.90716800000001"/>
  </r>
  <r>
    <x v="3"/>
    <x v="6"/>
    <x v="2"/>
    <s v="CUST_ID_031"/>
    <s v="PROD_ID_003"/>
    <x v="30"/>
    <s v="Low"/>
    <d v="2020-07-30T00:00:00"/>
    <x v="3"/>
    <x v="0"/>
    <x v="0"/>
    <n v="653"/>
    <n v="148"/>
    <n v="30"/>
    <n v="19590"/>
    <n v="391.8"/>
    <x v="24"/>
    <n v="10.6624"/>
    <n v="96644"/>
    <n v="-77445.8"/>
    <n v="-139.40244000000001"/>
  </r>
  <r>
    <x v="2"/>
    <x v="7"/>
    <x v="3"/>
    <s v="CUST_ID_032"/>
    <s v="PROD_ID_004"/>
    <x v="31"/>
    <s v="Low"/>
    <d v="2020-02-21T00:00:00"/>
    <x v="4"/>
    <x v="1"/>
    <x v="0"/>
    <n v="257"/>
    <n v="308"/>
    <n v="450"/>
    <n v="115650"/>
    <n v="2313"/>
    <x v="15"/>
    <n v="62.915999999999997"/>
    <n v="79156"/>
    <n v="34181"/>
    <n v="61.525799999999997"/>
  </r>
  <r>
    <x v="3"/>
    <x v="0"/>
    <x v="3"/>
    <s v="CUST_ID_033"/>
    <s v="PROD_ID_004"/>
    <x v="32"/>
    <s v="Low"/>
    <d v="2021-01-28T00:00:00"/>
    <x v="1"/>
    <x v="1"/>
    <x v="1"/>
    <n v="319"/>
    <n v="308"/>
    <n v="525"/>
    <n v="167475"/>
    <n v="3349.5"/>
    <x v="25"/>
    <n v="91.238"/>
    <n v="98252"/>
    <n v="65873.5"/>
    <n v="118.5723"/>
  </r>
  <r>
    <x v="3"/>
    <x v="1"/>
    <x v="3"/>
    <s v="CUST_ID_034"/>
    <s v="PROD_ID_004"/>
    <x v="33"/>
    <s v="Low"/>
    <d v="2021-01-12T00:00:00"/>
    <x v="1"/>
    <x v="1"/>
    <x v="1"/>
    <n v="2328"/>
    <n v="308"/>
    <n v="525"/>
    <n v="1222200"/>
    <n v="24444"/>
    <x v="26"/>
    <n v="665.42"/>
    <n v="717024"/>
    <n v="480732"/>
    <n v="865.31759999999997"/>
  </r>
  <r>
    <x v="3"/>
    <x v="2"/>
    <x v="5"/>
    <s v="CUST_ID_035"/>
    <s v="PROD_ID_006"/>
    <x v="34"/>
    <s v="Low"/>
    <d v="2021-07-01T00:00:00"/>
    <x v="3"/>
    <x v="0"/>
    <x v="1"/>
    <n v="3559"/>
    <n v="320"/>
    <n v="525"/>
    <n v="1868475"/>
    <n v="37369.5"/>
    <x v="23"/>
    <n v="1017.338"/>
    <n v="1138880"/>
    <n v="692225.5"/>
    <n v="1246.0058999999999"/>
  </r>
  <r>
    <x v="4"/>
    <x v="3"/>
    <x v="4"/>
    <s v="CUST_ID_036"/>
    <s v="PROD_ID_005"/>
    <x v="35"/>
    <s v="Low"/>
    <d v="2021-12-11T00:00:00"/>
    <x v="7"/>
    <x v="3"/>
    <x v="1"/>
    <n v="1090"/>
    <n v="4"/>
    <n v="18"/>
    <n v="19620"/>
    <n v="588.6"/>
    <x v="27"/>
    <n v="10.569120000000002"/>
    <n v="4360"/>
    <n v="14671.400000000001"/>
    <n v="26.408520000000003"/>
  </r>
  <r>
    <x v="3"/>
    <x v="4"/>
    <x v="0"/>
    <s v="CUST_ID_037"/>
    <s v="PROD_ID_001"/>
    <x v="36"/>
    <s v="Low"/>
    <d v="2020-05-16T00:00:00"/>
    <x v="10"/>
    <x v="2"/>
    <x v="0"/>
    <n v="2156"/>
    <n v="6"/>
    <n v="525"/>
    <n v="1131900"/>
    <n v="33957"/>
    <x v="28"/>
    <n v="610.08150000000001"/>
    <n v="12936"/>
    <n v="1085007"/>
    <n v="1953.0126"/>
  </r>
  <r>
    <x v="1"/>
    <x v="5"/>
    <x v="1"/>
    <s v="CUST_ID_038"/>
    <s v="PROD_ID_002"/>
    <x v="37"/>
    <s v="Low"/>
    <d v="2021-05-02T00:00:00"/>
    <x v="10"/>
    <x v="2"/>
    <x v="1"/>
    <n v="2334"/>
    <n v="12"/>
    <n v="23"/>
    <n v="53682"/>
    <n v="1610.46"/>
    <x v="29"/>
    <n v="28.29975"/>
    <n v="28008"/>
    <n v="24063.54"/>
    <n v="43.314371999999999"/>
  </r>
  <r>
    <x v="1"/>
    <x v="6"/>
    <x v="3"/>
    <s v="CUST_ID_039"/>
    <s v="PROD_ID_004"/>
    <x v="38"/>
    <s v="Low"/>
    <d v="2021-04-02T00:00:00"/>
    <x v="5"/>
    <x v="2"/>
    <x v="1"/>
    <n v="2334"/>
    <n v="308"/>
    <n v="23"/>
    <n v="53682"/>
    <n v="1610.46"/>
    <x v="29"/>
    <n v="28.29975"/>
    <n v="718872"/>
    <n v="-666800.46"/>
    <n v="-1200.240828"/>
  </r>
  <r>
    <x v="3"/>
    <x v="7"/>
    <x v="1"/>
    <s v="CUST_ID_040"/>
    <s v="PROD_ID_002"/>
    <x v="39"/>
    <s v="Low"/>
    <d v="2020-11-03T00:00:00"/>
    <x v="6"/>
    <x v="3"/>
    <x v="0"/>
    <n v="2112"/>
    <n v="12"/>
    <n v="11"/>
    <n v="23232"/>
    <n v="696.96"/>
    <x v="30"/>
    <n v="11.9504"/>
    <n v="25344"/>
    <n v="-2808.9599999999991"/>
    <n v="-5.0561279999999984"/>
  </r>
  <r>
    <x v="1"/>
    <x v="1"/>
    <x v="1"/>
    <s v="CUST_ID_002"/>
    <s v="PROD_ID_002"/>
    <x v="1"/>
    <s v="Low"/>
    <d v="2021-04-10T00:00:00"/>
    <x v="5"/>
    <x v="2"/>
    <x v="1"/>
    <n v="2713"/>
    <n v="12"/>
    <n v="23"/>
    <n v="62399"/>
    <n v="2495.9599999999996"/>
    <x v="31"/>
    <n v="32.558399999999999"/>
    <n v="32556"/>
    <n v="27347.040000000001"/>
    <n v="49.224671999999998"/>
  </r>
  <r>
    <x v="3"/>
    <x v="0"/>
    <x v="2"/>
    <s v="CUST_ID_041"/>
    <s v="PROD_ID_003"/>
    <x v="40"/>
    <s v="Low"/>
    <d v="2021-07-12T00:00:00"/>
    <x v="3"/>
    <x v="0"/>
    <x v="1"/>
    <n v="883"/>
    <n v="148"/>
    <n v="30"/>
    <n v="26490"/>
    <n v="1059.5999999999999"/>
    <x v="32"/>
    <n v="14.131200000000002"/>
    <n v="130684"/>
    <n v="-105253.6"/>
    <n v="-189.45648"/>
  </r>
  <r>
    <x v="3"/>
    <x v="1"/>
    <x v="4"/>
    <s v="CUST_ID_042"/>
    <s v="PROD_ID_005"/>
    <x v="41"/>
    <s v="Low"/>
    <d v="2021-12-20T00:00:00"/>
    <x v="7"/>
    <x v="3"/>
    <x v="1"/>
    <n v="3421"/>
    <n v="4"/>
    <n v="11"/>
    <n v="37631"/>
    <n v="1505.24"/>
    <x v="33"/>
    <n v="19.158720000000002"/>
    <n v="13684"/>
    <n v="22441.760000000002"/>
    <n v="40.395168000000005"/>
  </r>
  <r>
    <x v="3"/>
    <x v="2"/>
    <x v="0"/>
    <s v="CUST_ID_043"/>
    <s v="PROD_ID_001"/>
    <x v="42"/>
    <s v="Low"/>
    <d v="2020-07-14T00:00:00"/>
    <x v="3"/>
    <x v="0"/>
    <x v="0"/>
    <n v="3421"/>
    <n v="6"/>
    <n v="11"/>
    <n v="37631"/>
    <n v="1505.24"/>
    <x v="33"/>
    <n v="19.158720000000002"/>
    <n v="20526"/>
    <n v="15599.760000000002"/>
    <n v="28.079568000000002"/>
  </r>
  <r>
    <x v="1"/>
    <x v="1"/>
    <x v="1"/>
    <s v="CUST_ID_026"/>
    <s v="PROD_ID_002"/>
    <x v="25"/>
    <s v="Low"/>
    <d v="2020-01-15T00:00:00"/>
    <x v="1"/>
    <x v="1"/>
    <x v="0"/>
    <n v="805"/>
    <n v="12"/>
    <n v="23"/>
    <n v="18515"/>
    <n v="740.6"/>
    <x v="34"/>
    <n v="9.6623999999999999"/>
    <n v="9660"/>
    <n v="8114.4000000000015"/>
    <n v="14.605920000000003"/>
  </r>
  <r>
    <x v="1"/>
    <x v="3"/>
    <x v="1"/>
    <s v="CUST_ID_044"/>
    <s v="PROD_ID_002"/>
    <x v="43"/>
    <s v="Low"/>
    <d v="2021-03-22T00:00:00"/>
    <x v="8"/>
    <x v="1"/>
    <x v="1"/>
    <n v="1817"/>
    <n v="12"/>
    <n v="23"/>
    <n v="41791"/>
    <n v="1671.64"/>
    <x v="35"/>
    <n v="21.801599999999997"/>
    <n v="21804"/>
    <n v="18315.36"/>
    <n v="32.967647999999997"/>
  </r>
  <r>
    <x v="3"/>
    <x v="7"/>
    <x v="2"/>
    <s v="CUST_ID_016"/>
    <s v="PROD_ID_003"/>
    <x v="15"/>
    <s v="Low"/>
    <d v="2021-06-05T00:00:00"/>
    <x v="11"/>
    <x v="2"/>
    <x v="1"/>
    <n v="3175"/>
    <n v="148"/>
    <n v="30"/>
    <n v="95250"/>
    <n v="3810"/>
    <x v="36"/>
    <n v="50.803199999999997"/>
    <n v="469900"/>
    <n v="-378460"/>
    <n v="-681.22799999999995"/>
  </r>
  <r>
    <x v="3"/>
    <x v="0"/>
    <x v="3"/>
    <s v="CUST_ID_033"/>
    <s v="PROD_ID_004"/>
    <x v="32"/>
    <s v="Low"/>
    <d v="2020-02-16T00:00:00"/>
    <x v="4"/>
    <x v="1"/>
    <x v="0"/>
    <n v="419"/>
    <n v="308"/>
    <n v="525"/>
    <n v="219975"/>
    <n v="8799"/>
    <x v="37"/>
    <n v="117.264"/>
    <n v="129052"/>
    <n v="82124"/>
    <n v="147.82319999999999"/>
  </r>
  <r>
    <x v="1"/>
    <x v="4"/>
    <x v="3"/>
    <s v="CUST_ID_045"/>
    <s v="PROD_ID_004"/>
    <x v="44"/>
    <s v="Low"/>
    <d v="2020-09-15T00:00:00"/>
    <x v="0"/>
    <x v="0"/>
    <x v="0"/>
    <n v="1817"/>
    <n v="308"/>
    <n v="23"/>
    <n v="41791"/>
    <n v="1671.64"/>
    <x v="35"/>
    <n v="21.801599999999997"/>
    <n v="559636"/>
    <n v="-519516.64"/>
    <n v="-935.129952"/>
  </r>
  <r>
    <x v="1"/>
    <x v="5"/>
    <x v="5"/>
    <s v="CUST_ID_046"/>
    <s v="PROD_ID_006"/>
    <x v="45"/>
    <s v="Low"/>
    <d v="2021-10-19T00:00:00"/>
    <x v="9"/>
    <x v="3"/>
    <x v="1"/>
    <n v="805"/>
    <n v="320"/>
    <n v="23"/>
    <n v="18515"/>
    <n v="740.6"/>
    <x v="34"/>
    <n v="9.6623999999999999"/>
    <n v="257600"/>
    <n v="-239825.6"/>
    <n v="-431.68608"/>
  </r>
  <r>
    <x v="3"/>
    <x v="6"/>
    <x v="5"/>
    <s v="CUST_ID_047"/>
    <s v="PROD_ID_006"/>
    <x v="46"/>
    <s v="Low"/>
    <d v="2020-12-31T00:00:00"/>
    <x v="7"/>
    <x v="3"/>
    <x v="0"/>
    <n v="2134"/>
    <n v="320"/>
    <n v="525"/>
    <n v="1120350"/>
    <n v="44814"/>
    <x v="38"/>
    <n v="597.40800000000002"/>
    <n v="682880"/>
    <n v="392656"/>
    <n v="706.7808"/>
  </r>
  <r>
    <x v="3"/>
    <x v="4"/>
    <x v="0"/>
    <s v="CUST_ID_037"/>
    <s v="PROD_ID_001"/>
    <x v="36"/>
    <s v="Medium"/>
    <d v="2021-08-17T00:00:00"/>
    <x v="2"/>
    <x v="0"/>
    <x v="1"/>
    <n v="1391"/>
    <n v="6"/>
    <n v="11"/>
    <n v="15301"/>
    <n v="765.05"/>
    <x v="39"/>
    <n v="7.7073499999999999"/>
    <n v="8346"/>
    <n v="6189.9500000000007"/>
    <n v="11.141910000000001"/>
  </r>
  <r>
    <x v="3"/>
    <x v="3"/>
    <x v="1"/>
    <s v="CUST_ID_004"/>
    <s v="PROD_ID_002"/>
    <x v="3"/>
    <s v="Medium"/>
    <d v="2021-09-28T00:00:00"/>
    <x v="0"/>
    <x v="0"/>
    <x v="1"/>
    <n v="2819"/>
    <n v="12"/>
    <n v="11"/>
    <n v="31009"/>
    <n v="1550.4499999999998"/>
    <x v="40"/>
    <n v="15.620850000000001"/>
    <n v="33828"/>
    <n v="-4369.4500000000007"/>
    <n v="-7.8650100000000007"/>
  </r>
  <r>
    <x v="3"/>
    <x v="2"/>
    <x v="5"/>
    <s v="CUST_ID_035"/>
    <s v="PROD_ID_006"/>
    <x v="34"/>
    <s v="Medium"/>
    <d v="2020-03-28T00:00:00"/>
    <x v="8"/>
    <x v="1"/>
    <x v="0"/>
    <n v="1391"/>
    <n v="320"/>
    <n v="11"/>
    <n v="15301"/>
    <n v="765.05"/>
    <x v="39"/>
    <n v="7.7073499999999999"/>
    <n v="445120"/>
    <n v="-430584.05"/>
    <n v="-775.05128999999999"/>
  </r>
  <r>
    <x v="3"/>
    <x v="7"/>
    <x v="4"/>
    <s v="CUST_ID_048"/>
    <s v="PROD_ID_005"/>
    <x v="47"/>
    <s v="Medium"/>
    <d v="2021-05-24T00:00:00"/>
    <x v="10"/>
    <x v="2"/>
    <x v="1"/>
    <n v="1219"/>
    <n v="4"/>
    <n v="11"/>
    <n v="13409"/>
    <n v="670.45"/>
    <x v="41"/>
    <n v="6.7563999999999993"/>
    <n v="4876"/>
    <n v="7862.5499999999993"/>
    <n v="14.152589999999998"/>
  </r>
  <r>
    <x v="3"/>
    <x v="0"/>
    <x v="0"/>
    <s v="CUST_ID_049"/>
    <s v="PROD_ID_001"/>
    <x v="48"/>
    <s v="Medium"/>
    <d v="2020-04-08T00:00:00"/>
    <x v="5"/>
    <x v="2"/>
    <x v="0"/>
    <n v="864"/>
    <n v="6"/>
    <n v="525"/>
    <n v="453600"/>
    <n v="22680"/>
    <x v="42"/>
    <n v="239.4"/>
    <n v="5184"/>
    <n v="425736"/>
    <n v="766.32479999999998"/>
  </r>
  <r>
    <x v="2"/>
    <x v="1"/>
    <x v="0"/>
    <s v="CUST_ID_050"/>
    <s v="PROD_ID_001"/>
    <x v="49"/>
    <s v="Medium"/>
    <d v="2020-01-20T00:00:00"/>
    <x v="1"/>
    <x v="1"/>
    <x v="0"/>
    <n v="1320"/>
    <n v="6"/>
    <n v="450"/>
    <n v="594000"/>
    <n v="29700"/>
    <x v="43"/>
    <n v="313.5"/>
    <n v="7920"/>
    <n v="556380"/>
    <n v="1001.4839999999999"/>
  </r>
  <r>
    <x v="3"/>
    <x v="3"/>
    <x v="1"/>
    <s v="CUST_ID_004"/>
    <s v="PROD_ID_002"/>
    <x v="3"/>
    <s v="Medium"/>
    <d v="2020-01-09T00:00:00"/>
    <x v="1"/>
    <x v="1"/>
    <x v="0"/>
    <n v="1474"/>
    <n v="12"/>
    <n v="525"/>
    <n v="773850"/>
    <n v="38692.5"/>
    <x v="44"/>
    <n v="408.31"/>
    <n v="17688"/>
    <n v="717469.5"/>
    <n v="1291.4450999999999"/>
  </r>
  <r>
    <x v="3"/>
    <x v="3"/>
    <x v="1"/>
    <s v="CUST_ID_004"/>
    <s v="PROD_ID_002"/>
    <x v="3"/>
    <s v="Medium"/>
    <d v="2020-12-16T00:00:00"/>
    <x v="7"/>
    <x v="3"/>
    <x v="0"/>
    <n v="1667"/>
    <n v="12"/>
    <n v="30"/>
    <n v="50010"/>
    <n v="2500.5"/>
    <x v="45"/>
    <n v="26.390999999999998"/>
    <n v="20004"/>
    <n v="27505.5"/>
    <n v="49.509900000000002"/>
  </r>
  <r>
    <x v="0"/>
    <x v="2"/>
    <x v="1"/>
    <s v="CUST_ID_051"/>
    <s v="PROD_ID_002"/>
    <x v="50"/>
    <s v="Medium"/>
    <d v="2020-07-25T00:00:00"/>
    <x v="3"/>
    <x v="0"/>
    <x v="0"/>
    <n v="845"/>
    <n v="12"/>
    <n v="188"/>
    <n v="158860"/>
    <n v="7943"/>
    <x v="46"/>
    <n v="83.6"/>
    <n v="10140"/>
    <n v="140777"/>
    <n v="253.39859999999999"/>
  </r>
  <r>
    <x v="3"/>
    <x v="3"/>
    <x v="1"/>
    <s v="CUST_ID_004"/>
    <s v="PROD_ID_002"/>
    <x v="3"/>
    <s v="Medium"/>
    <d v="2020-09-30T00:00:00"/>
    <x v="0"/>
    <x v="0"/>
    <x v="0"/>
    <n v="2162"/>
    <n v="12"/>
    <n v="30"/>
    <n v="64860"/>
    <n v="3243"/>
    <x v="47"/>
    <n v="34.238"/>
    <n v="25944"/>
    <n v="35673"/>
    <n v="64.211399999999998"/>
  </r>
  <r>
    <x v="3"/>
    <x v="3"/>
    <x v="1"/>
    <s v="CUST_ID_052"/>
    <s v="PROD_ID_002"/>
    <x v="51"/>
    <s v="Medium"/>
    <d v="2020-07-22T00:00:00"/>
    <x v="3"/>
    <x v="0"/>
    <x v="0"/>
    <n v="2563"/>
    <n v="12"/>
    <n v="11"/>
    <n v="28193"/>
    <n v="1409.65"/>
    <x v="48"/>
    <n v="14.2044"/>
    <n v="30756"/>
    <n v="-3972.6500000000015"/>
    <n v="-7.1507700000000023"/>
  </r>
  <r>
    <x v="1"/>
    <x v="5"/>
    <x v="1"/>
    <s v="CUST_ID_038"/>
    <s v="PROD_ID_002"/>
    <x v="37"/>
    <s v="Medium"/>
    <d v="2021-03-16T00:00:00"/>
    <x v="8"/>
    <x v="1"/>
    <x v="1"/>
    <n v="2539"/>
    <n v="12"/>
    <n v="23"/>
    <n v="58397"/>
    <n v="2919.8500000000004"/>
    <x v="49"/>
    <n v="30.152999999999999"/>
    <n v="30468"/>
    <n v="25009.15"/>
    <n v="45.016469999999998"/>
  </r>
  <r>
    <x v="0"/>
    <x v="4"/>
    <x v="2"/>
    <s v="CUST_ID_053"/>
    <s v="PROD_ID_003"/>
    <x v="52"/>
    <s v="Medium"/>
    <d v="2020-04-25T00:00:00"/>
    <x v="5"/>
    <x v="2"/>
    <x v="0"/>
    <n v="845"/>
    <n v="148"/>
    <n v="188"/>
    <n v="158860"/>
    <n v="7943"/>
    <x v="46"/>
    <n v="83.6"/>
    <n v="125060"/>
    <n v="25857"/>
    <n v="46.5426"/>
  </r>
  <r>
    <x v="3"/>
    <x v="5"/>
    <x v="2"/>
    <s v="CUST_ID_054"/>
    <s v="PROD_ID_003"/>
    <x v="53"/>
    <s v="Medium"/>
    <d v="2021-10-28T00:00:00"/>
    <x v="9"/>
    <x v="3"/>
    <x v="1"/>
    <n v="1240"/>
    <n v="148"/>
    <n v="30"/>
    <n v="37200"/>
    <n v="1860"/>
    <x v="50"/>
    <n v="19.626999999999999"/>
    <n v="183520"/>
    <n v="-148180"/>
    <n v="-266.72399999999999"/>
  </r>
  <r>
    <x v="3"/>
    <x v="6"/>
    <x v="3"/>
    <s v="CUST_ID_055"/>
    <s v="PROD_ID_004"/>
    <x v="54"/>
    <s v="Medium"/>
    <d v="2020-09-07T00:00:00"/>
    <x v="0"/>
    <x v="0"/>
    <x v="0"/>
    <n v="1667"/>
    <n v="308"/>
    <n v="30"/>
    <n v="50010"/>
    <n v="2500.5"/>
    <x v="45"/>
    <n v="26.390999999999998"/>
    <n v="513436"/>
    <n v="-465926.5"/>
    <n v="-838.66769999999997"/>
  </r>
  <r>
    <x v="3"/>
    <x v="0"/>
    <x v="3"/>
    <s v="CUST_ID_033"/>
    <s v="PROD_ID_004"/>
    <x v="32"/>
    <s v="Medium"/>
    <d v="2020-07-03T00:00:00"/>
    <x v="3"/>
    <x v="0"/>
    <x v="0"/>
    <n v="1518"/>
    <n v="308"/>
    <n v="30"/>
    <n v="45540"/>
    <n v="2277"/>
    <x v="51"/>
    <n v="24.035"/>
    <n v="467544"/>
    <n v="-424281"/>
    <n v="-763.70579999999995"/>
  </r>
  <r>
    <x v="3"/>
    <x v="7"/>
    <x v="3"/>
    <s v="CUST_ID_056"/>
    <s v="PROD_ID_004"/>
    <x v="55"/>
    <s v="Medium"/>
    <d v="2020-07-31T00:00:00"/>
    <x v="3"/>
    <x v="0"/>
    <x v="0"/>
    <n v="2756"/>
    <n v="308"/>
    <n v="30"/>
    <n v="82680"/>
    <n v="4134"/>
    <x v="52"/>
    <n v="43.643000000000001"/>
    <n v="848848"/>
    <n v="-770302"/>
    <n v="-1386.5436"/>
  </r>
  <r>
    <x v="3"/>
    <x v="6"/>
    <x v="5"/>
    <s v="CUST_ID_047"/>
    <s v="PROD_ID_006"/>
    <x v="46"/>
    <s v="Medium"/>
    <d v="2021-01-11T00:00:00"/>
    <x v="1"/>
    <x v="1"/>
    <x v="1"/>
    <n v="1474"/>
    <n v="320"/>
    <n v="525"/>
    <n v="773850"/>
    <n v="38692.5"/>
    <x v="44"/>
    <n v="408.31"/>
    <n v="471680"/>
    <n v="263477.5"/>
    <n v="474.2595"/>
  </r>
  <r>
    <x v="4"/>
    <x v="3"/>
    <x v="4"/>
    <s v="CUST_ID_036"/>
    <s v="PROD_ID_005"/>
    <x v="35"/>
    <s v="Medium"/>
    <d v="2021-01-01T00:00:00"/>
    <x v="1"/>
    <x v="1"/>
    <x v="1"/>
    <n v="2759"/>
    <n v="4"/>
    <n v="18"/>
    <n v="49662"/>
    <n v="2979.72"/>
    <x v="53"/>
    <n v="25.93272"/>
    <n v="11036"/>
    <n v="35646.28"/>
    <n v="64.163303999999997"/>
  </r>
  <r>
    <x v="3"/>
    <x v="0"/>
    <x v="4"/>
    <s v="CUST_ID_057"/>
    <s v="PROD_ID_005"/>
    <x v="56"/>
    <s v="Medium"/>
    <d v="2020-04-15T00:00:00"/>
    <x v="5"/>
    <x v="2"/>
    <x v="0"/>
    <n v="316"/>
    <n v="4"/>
    <n v="11"/>
    <n v="3476"/>
    <n v="208.56"/>
    <x v="54"/>
    <n v="1.73054"/>
    <n v="1264"/>
    <n v="2003.44"/>
    <n v="3.6061920000000001"/>
  </r>
  <r>
    <x v="0"/>
    <x v="1"/>
    <x v="4"/>
    <s v="CUST_ID_058"/>
    <s v="PROD_ID_005"/>
    <x v="57"/>
    <s v="Medium"/>
    <d v="2021-08-16T00:00:00"/>
    <x v="2"/>
    <x v="0"/>
    <x v="1"/>
    <n v="1064"/>
    <n v="4"/>
    <n v="188"/>
    <n v="200032"/>
    <n v="12001.92"/>
    <x v="55"/>
    <n v="104.2225"/>
    <n v="4256"/>
    <n v="183774.07999999999"/>
    <n v="330.79334399999999"/>
  </r>
  <r>
    <x v="3"/>
    <x v="2"/>
    <x v="0"/>
    <s v="CUST_ID_059"/>
    <s v="PROD_ID_001"/>
    <x v="58"/>
    <s v="Medium"/>
    <d v="2021-09-25T00:00:00"/>
    <x v="0"/>
    <x v="0"/>
    <x v="1"/>
    <n v="1684"/>
    <n v="6"/>
    <n v="11"/>
    <n v="18524"/>
    <n v="1111.44"/>
    <x v="56"/>
    <n v="9.2317400000000003"/>
    <n v="10104"/>
    <n v="7308.5600000000013"/>
    <n v="13.155408000000001"/>
  </r>
  <r>
    <x v="4"/>
    <x v="3"/>
    <x v="1"/>
    <s v="CUST_ID_060"/>
    <s v="PROD_ID_002"/>
    <x v="41"/>
    <s v="Medium"/>
    <d v="2020-04-25T00:00:00"/>
    <x v="5"/>
    <x v="2"/>
    <x v="0"/>
    <n v="2759"/>
    <n v="12"/>
    <n v="18"/>
    <n v="49662"/>
    <n v="2979.72"/>
    <x v="53"/>
    <n v="25.93272"/>
    <n v="33108"/>
    <n v="13574.279999999999"/>
    <n v="24.433703999999999"/>
  </r>
  <r>
    <x v="3"/>
    <x v="2"/>
    <x v="1"/>
    <s v="CUST_ID_027"/>
    <s v="PROD_ID_002"/>
    <x v="26"/>
    <s v="Medium"/>
    <d v="2021-04-19T00:00:00"/>
    <x v="5"/>
    <x v="2"/>
    <x v="1"/>
    <n v="872"/>
    <n v="12"/>
    <n v="525"/>
    <n v="457800"/>
    <n v="27468"/>
    <x v="57"/>
    <n v="239.18299999999999"/>
    <n v="10464"/>
    <n v="419868"/>
    <n v="755.76239999999996"/>
  </r>
  <r>
    <x v="2"/>
    <x v="4"/>
    <x v="2"/>
    <s v="CUST_ID_061"/>
    <s v="PROD_ID_003"/>
    <x v="59"/>
    <s v="Medium"/>
    <d v="2020-05-25T00:00:00"/>
    <x v="10"/>
    <x v="2"/>
    <x v="0"/>
    <n v="1465"/>
    <n v="148"/>
    <n v="450"/>
    <n v="659250"/>
    <n v="39555"/>
    <x v="58"/>
    <n v="344.322"/>
    <n v="216820"/>
    <n v="402875"/>
    <n v="725.17499999999995"/>
  </r>
  <r>
    <x v="3"/>
    <x v="5"/>
    <x v="2"/>
    <s v="CUST_ID_054"/>
    <s v="PROD_ID_003"/>
    <x v="53"/>
    <s v="Medium"/>
    <d v="2020-09-24T00:00:00"/>
    <x v="0"/>
    <x v="0"/>
    <x v="0"/>
    <n v="2491"/>
    <n v="148"/>
    <n v="525"/>
    <n v="1307775"/>
    <n v="78466.5"/>
    <x v="59"/>
    <n v="683.00400000000002"/>
    <n v="368668"/>
    <n v="860640.5"/>
    <n v="1549.1529"/>
  </r>
  <r>
    <x v="2"/>
    <x v="5"/>
    <x v="3"/>
    <s v="CUST_ID_062"/>
    <s v="PROD_ID_004"/>
    <x v="60"/>
    <s v="Medium"/>
    <d v="2020-08-20T00:00:00"/>
    <x v="2"/>
    <x v="0"/>
    <x v="0"/>
    <n v="1465"/>
    <n v="308"/>
    <n v="450"/>
    <n v="659250"/>
    <n v="39555"/>
    <x v="58"/>
    <n v="344.322"/>
    <n v="451220"/>
    <n v="168475"/>
    <n v="303.255"/>
  </r>
  <r>
    <x v="3"/>
    <x v="1"/>
    <x v="3"/>
    <s v="CUST_ID_034"/>
    <s v="PROD_ID_004"/>
    <x v="33"/>
    <s v="Medium"/>
    <d v="2021-07-25T00:00:00"/>
    <x v="3"/>
    <x v="0"/>
    <x v="1"/>
    <n v="1348"/>
    <n v="308"/>
    <n v="30"/>
    <n v="40440"/>
    <n v="2426.4"/>
    <x v="60"/>
    <n v="21.112400000000001"/>
    <n v="415184"/>
    <n v="-377170.4"/>
    <n v="-678.90672000000006"/>
  </r>
  <r>
    <x v="2"/>
    <x v="6"/>
    <x v="3"/>
    <s v="CUST_ID_063"/>
    <s v="PROD_ID_004"/>
    <x v="61"/>
    <s v="Medium"/>
    <d v="2020-03-05T00:00:00"/>
    <x v="8"/>
    <x v="1"/>
    <x v="0"/>
    <n v="2923"/>
    <n v="308"/>
    <n v="450"/>
    <n v="1315350"/>
    <n v="78921"/>
    <x v="61"/>
    <n v="686.952"/>
    <n v="900284"/>
    <n v="336145"/>
    <n v="605.06100000000004"/>
  </r>
  <r>
    <x v="3"/>
    <x v="7"/>
    <x v="5"/>
    <s v="CUST_ID_064"/>
    <s v="PROD_ID_006"/>
    <x v="62"/>
    <s v="Medium"/>
    <d v="2021-02-21T00:00:00"/>
    <x v="4"/>
    <x v="1"/>
    <x v="1"/>
    <n v="872"/>
    <n v="320"/>
    <n v="525"/>
    <n v="457800"/>
    <n v="27468"/>
    <x v="57"/>
    <n v="239.18299999999999"/>
    <n v="279040"/>
    <n v="151292"/>
    <n v="272.32560000000001"/>
  </r>
  <r>
    <x v="3"/>
    <x v="0"/>
    <x v="5"/>
    <s v="CUST_ID_065"/>
    <s v="PROD_ID_006"/>
    <x v="63"/>
    <s v="Medium"/>
    <d v="2020-09-08T00:00:00"/>
    <x v="0"/>
    <x v="0"/>
    <x v="0"/>
    <n v="1684"/>
    <n v="320"/>
    <n v="11"/>
    <n v="18524"/>
    <n v="1111.44"/>
    <x v="56"/>
    <n v="9.2317400000000003"/>
    <n v="538880"/>
    <n v="-521467.44"/>
    <n v="-938.641392"/>
  </r>
  <r>
    <x v="3"/>
    <x v="0"/>
    <x v="5"/>
    <s v="CUST_ID_065"/>
    <s v="PROD_ID_006"/>
    <x v="63"/>
    <s v="Medium"/>
    <d v="2021-08-21T00:00:00"/>
    <x v="2"/>
    <x v="0"/>
    <x v="1"/>
    <n v="2491"/>
    <n v="320"/>
    <n v="525"/>
    <n v="1307775"/>
    <n v="78466.5"/>
    <x v="59"/>
    <n v="683.00400000000002"/>
    <n v="797120"/>
    <n v="432188.5"/>
    <n v="777.9393"/>
  </r>
  <r>
    <x v="3"/>
    <x v="2"/>
    <x v="0"/>
    <s v="CUST_ID_059"/>
    <s v="PROD_ID_001"/>
    <x v="58"/>
    <s v="Medium"/>
    <d v="2021-05-18T00:00:00"/>
    <x v="10"/>
    <x v="2"/>
    <x v="1"/>
    <n v="2108"/>
    <n v="6"/>
    <n v="30"/>
    <n v="63240"/>
    <n v="3794.4"/>
    <x v="62"/>
    <n v="33.031599999999997"/>
    <n v="12648"/>
    <n v="46797.599999999999"/>
    <n v="84.235680000000002"/>
  </r>
  <r>
    <x v="3"/>
    <x v="3"/>
    <x v="1"/>
    <s v="CUST_ID_052"/>
    <s v="PROD_ID_002"/>
    <x v="51"/>
    <s v="Medium"/>
    <d v="2021-08-29T00:00:00"/>
    <x v="2"/>
    <x v="0"/>
    <x v="1"/>
    <n v="2108"/>
    <n v="12"/>
    <n v="30"/>
    <n v="63240"/>
    <n v="3794.4"/>
    <x v="62"/>
    <n v="33.031599999999997"/>
    <n v="25296"/>
    <n v="34149.599999999999"/>
    <n v="61.469279999999998"/>
  </r>
  <r>
    <x v="3"/>
    <x v="1"/>
    <x v="4"/>
    <s v="CUST_ID_066"/>
    <s v="PROD_ID_005"/>
    <x v="64"/>
    <s v="Medium"/>
    <d v="2021-04-23T00:00:00"/>
    <x v="5"/>
    <x v="2"/>
    <x v="1"/>
    <n v="2201"/>
    <n v="4"/>
    <n v="30"/>
    <n v="66030"/>
    <n v="4622.0999999999995"/>
    <x v="63"/>
    <n v="34.112400000000001"/>
    <n v="8804"/>
    <n v="52603.9"/>
    <n v="94.687020000000004"/>
  </r>
  <r>
    <x v="3"/>
    <x v="3"/>
    <x v="1"/>
    <s v="CUST_ID_052"/>
    <s v="PROD_ID_002"/>
    <x v="51"/>
    <s v="Medium"/>
    <d v="2021-02-06T00:00:00"/>
    <x v="4"/>
    <x v="1"/>
    <x v="1"/>
    <n v="1237"/>
    <n v="12"/>
    <n v="11"/>
    <n v="13607"/>
    <n v="952.4899999999999"/>
    <x v="64"/>
    <n v="6.7118100000000007"/>
    <n v="14844"/>
    <n v="-2189.4899999999998"/>
    <n v="-3.9410819999999993"/>
  </r>
  <r>
    <x v="4"/>
    <x v="2"/>
    <x v="3"/>
    <s v="CUST_ID_067"/>
    <s v="PROD_ID_004"/>
    <x v="65"/>
    <s v="Medium"/>
    <d v="2020-01-02T00:00:00"/>
    <x v="1"/>
    <x v="1"/>
    <x v="0"/>
    <n v="2658"/>
    <n v="308"/>
    <n v="18"/>
    <n v="47844"/>
    <n v="3349.0799999999995"/>
    <x v="65"/>
    <n v="24.7194"/>
    <n v="818664"/>
    <n v="-774169.08"/>
    <n v="-1393.5043439999999"/>
  </r>
  <r>
    <x v="0"/>
    <x v="3"/>
    <x v="0"/>
    <s v="CUST_ID_068"/>
    <s v="PROD_ID_001"/>
    <x v="66"/>
    <s v="Medium"/>
    <d v="2020-03-13T00:00:00"/>
    <x v="8"/>
    <x v="1"/>
    <x v="0"/>
    <n v="3000"/>
    <n v="6"/>
    <n v="188"/>
    <n v="564000"/>
    <n v="39480.000000000007"/>
    <x v="66"/>
    <n v="290.625"/>
    <n v="18000"/>
    <n v="506520"/>
    <n v="911.73599999999999"/>
  </r>
  <r>
    <x v="1"/>
    <x v="1"/>
    <x v="1"/>
    <s v="CUST_ID_026"/>
    <s v="PROD_ID_002"/>
    <x v="25"/>
    <s v="Medium"/>
    <d v="2020-09-12T00:00:00"/>
    <x v="0"/>
    <x v="0"/>
    <x v="0"/>
    <n v="3517"/>
    <n v="12"/>
    <n v="23"/>
    <n v="80891"/>
    <n v="5662.3700000000008"/>
    <x v="67"/>
    <n v="40.887449999999994"/>
    <n v="42204"/>
    <n v="33024.630000000005"/>
    <n v="59.444334000000005"/>
  </r>
  <r>
    <x v="2"/>
    <x v="4"/>
    <x v="1"/>
    <s v="CUST_ID_069"/>
    <s v="PROD_ID_002"/>
    <x v="56"/>
    <s v="Medium"/>
    <d v="2020-06-16T00:00:00"/>
    <x v="11"/>
    <x v="2"/>
    <x v="0"/>
    <n v="1348"/>
    <n v="12"/>
    <n v="450"/>
    <n v="606600"/>
    <n v="42462.000000000007"/>
    <x v="68"/>
    <n v="313.31700000000001"/>
    <n v="16176"/>
    <n v="547962"/>
    <n v="986.33159999999998"/>
  </r>
  <r>
    <x v="2"/>
    <x v="5"/>
    <x v="1"/>
    <s v="CUST_ID_070"/>
    <s v="PROD_ID_002"/>
    <x v="67"/>
    <s v="Medium"/>
    <d v="2021-05-19T00:00:00"/>
    <x v="10"/>
    <x v="2"/>
    <x v="1"/>
    <n v="1685"/>
    <n v="12"/>
    <n v="450"/>
    <n v="758250"/>
    <n v="53077.500000000007"/>
    <x v="69"/>
    <n v="391.71600000000001"/>
    <n v="20220"/>
    <n v="684952.5"/>
    <n v="1232.9144999999999"/>
  </r>
  <r>
    <x v="4"/>
    <x v="6"/>
    <x v="1"/>
    <s v="CUST_ID_071"/>
    <s v="PROD_ID_002"/>
    <x v="68"/>
    <s v="Medium"/>
    <d v="2020-04-07T00:00:00"/>
    <x v="5"/>
    <x v="2"/>
    <x v="0"/>
    <n v="3316"/>
    <n v="12"/>
    <n v="18"/>
    <n v="59688"/>
    <n v="4178.1600000000008"/>
    <x v="70"/>
    <n v="30.835080000000001"/>
    <n v="39792"/>
    <n v="15717.839999999997"/>
    <n v="28.292111999999992"/>
  </r>
  <r>
    <x v="3"/>
    <x v="7"/>
    <x v="1"/>
    <s v="CUST_ID_072"/>
    <s v="PROD_ID_002"/>
    <x v="69"/>
    <s v="Medium"/>
    <d v="2021-06-14T00:00:00"/>
    <x v="11"/>
    <x v="2"/>
    <x v="1"/>
    <n v="2550"/>
    <n v="12"/>
    <n v="11"/>
    <n v="28050"/>
    <n v="1963.5000000000002"/>
    <x v="71"/>
    <n v="13.83375"/>
    <n v="30600"/>
    <n v="-4513.5"/>
    <n v="-8.1242999999999999"/>
  </r>
  <r>
    <x v="3"/>
    <x v="0"/>
    <x v="2"/>
    <s v="CUST_ID_041"/>
    <s v="PROD_ID_003"/>
    <x v="40"/>
    <s v="Medium"/>
    <d v="2021-02-11T00:00:00"/>
    <x v="4"/>
    <x v="1"/>
    <x v="1"/>
    <n v="1705"/>
    <n v="148"/>
    <n v="30"/>
    <n v="51150"/>
    <n v="3580.5000000000005"/>
    <x v="72"/>
    <n v="26.430599999999998"/>
    <n v="252340"/>
    <n v="-204770.5"/>
    <n v="-368.58690000000001"/>
  </r>
  <r>
    <x v="3"/>
    <x v="3"/>
    <x v="2"/>
    <s v="CUST_ID_028"/>
    <s v="PROD_ID_003"/>
    <x v="27"/>
    <s v="Medium"/>
    <d v="2021-05-05T00:00:00"/>
    <x v="10"/>
    <x v="2"/>
    <x v="1"/>
    <n v="706"/>
    <n v="148"/>
    <n v="30"/>
    <n v="21180"/>
    <n v="1482.6000000000001"/>
    <x v="73"/>
    <n v="10.9368"/>
    <n v="104488"/>
    <n v="-84790.6"/>
    <n v="-152.62308000000002"/>
  </r>
  <r>
    <x v="0"/>
    <x v="0"/>
    <x v="5"/>
    <s v="CUST_ID_073"/>
    <s v="PROD_ID_006"/>
    <x v="70"/>
    <s v="Medium"/>
    <d v="2021-06-06T00:00:00"/>
    <x v="11"/>
    <x v="2"/>
    <x v="1"/>
    <n v="1193"/>
    <n v="320"/>
    <n v="188"/>
    <n v="224284"/>
    <n v="15699.880000000001"/>
    <x v="74"/>
    <n v="115.55249999999999"/>
    <n v="381760"/>
    <n v="-173175.88"/>
    <n v="-311.71658400000001"/>
  </r>
  <r>
    <x v="2"/>
    <x v="1"/>
    <x v="0"/>
    <s v="CUST_ID_074"/>
    <s v="PROD_ID_001"/>
    <x v="71"/>
    <s v="Medium"/>
    <d v="2020-08-13T00:00:00"/>
    <x v="2"/>
    <x v="0"/>
    <x v="0"/>
    <n v="1540"/>
    <n v="6"/>
    <n v="450"/>
    <n v="693000"/>
    <n v="55440"/>
    <x v="75"/>
    <n v="354.108"/>
    <n v="9240"/>
    <n v="628320"/>
    <n v="1130.9759999999999"/>
  </r>
  <r>
    <x v="3"/>
    <x v="7"/>
    <x v="1"/>
    <s v="CUST_ID_072"/>
    <s v="PROD_ID_002"/>
    <x v="69"/>
    <s v="Medium"/>
    <d v="2021-11-14T00:00:00"/>
    <x v="6"/>
    <x v="3"/>
    <x v="1"/>
    <n v="2891"/>
    <n v="12"/>
    <n v="11"/>
    <n v="31801"/>
    <n v="2544.08"/>
    <x v="76"/>
    <n v="15.513959999999999"/>
    <n v="34692"/>
    <n v="-5435.0800000000017"/>
    <n v="-9.7831440000000036"/>
  </r>
  <r>
    <x v="3"/>
    <x v="7"/>
    <x v="1"/>
    <s v="CUST_ID_072"/>
    <s v="PROD_ID_002"/>
    <x v="69"/>
    <s v="Medium"/>
    <d v="2020-10-21T00:00:00"/>
    <x v="9"/>
    <x v="3"/>
    <x v="0"/>
    <n v="2575"/>
    <n v="12"/>
    <n v="525"/>
    <n v="1351875"/>
    <n v="108150"/>
    <x v="77"/>
    <n v="691.01199999999994"/>
    <n v="30900"/>
    <n v="1212825"/>
    <n v="2183.085"/>
  </r>
  <r>
    <x v="3"/>
    <x v="7"/>
    <x v="1"/>
    <s v="CUST_ID_040"/>
    <s v="PROD_ID_002"/>
    <x v="39"/>
    <s v="Medium"/>
    <d v="2020-02-16T00:00:00"/>
    <x v="4"/>
    <x v="1"/>
    <x v="0"/>
    <n v="2335"/>
    <n v="12"/>
    <n v="11"/>
    <n v="25685"/>
    <n v="2054.8000000000002"/>
    <x v="78"/>
    <n v="12.53224"/>
    <n v="28020"/>
    <n v="-4389.7999999999993"/>
    <n v="-7.9016399999999987"/>
  </r>
  <r>
    <x v="2"/>
    <x v="4"/>
    <x v="2"/>
    <s v="CUST_ID_061"/>
    <s v="PROD_ID_003"/>
    <x v="59"/>
    <s v="Medium"/>
    <d v="2021-11-12T00:00:00"/>
    <x v="6"/>
    <x v="3"/>
    <x v="1"/>
    <n v="463"/>
    <n v="148"/>
    <n v="450"/>
    <n v="208350"/>
    <n v="16668"/>
    <x v="79"/>
    <n v="106.536"/>
    <n v="68524"/>
    <n v="123158"/>
    <n v="221.68439999999998"/>
  </r>
  <r>
    <x v="2"/>
    <x v="2"/>
    <x v="3"/>
    <s v="CUST_ID_075"/>
    <s v="PROD_ID_004"/>
    <x v="72"/>
    <s v="Medium"/>
    <d v="2021-06-30T00:00:00"/>
    <x v="11"/>
    <x v="2"/>
    <x v="1"/>
    <n v="970"/>
    <n v="308"/>
    <n v="450"/>
    <n v="436500"/>
    <n v="34920"/>
    <x v="80"/>
    <n v="223.00800000000001"/>
    <n v="298760"/>
    <n v="102820"/>
    <n v="185.07599999999999"/>
  </r>
  <r>
    <x v="4"/>
    <x v="3"/>
    <x v="5"/>
    <s v="CUST_ID_076"/>
    <s v="PROD_ID_006"/>
    <x v="73"/>
    <s v="Medium"/>
    <d v="2021-10-07T00:00:00"/>
    <x v="9"/>
    <x v="3"/>
    <x v="1"/>
    <n v="1650"/>
    <n v="320"/>
    <n v="18"/>
    <n v="29700"/>
    <n v="2376"/>
    <x v="81"/>
    <n v="15.18"/>
    <n v="528000"/>
    <n v="-500676"/>
    <n v="-901.21679999999992"/>
  </r>
  <r>
    <x v="4"/>
    <x v="4"/>
    <x v="4"/>
    <s v="CUST_ID_077"/>
    <s v="PROD_ID_005"/>
    <x v="74"/>
    <s v="Medium"/>
    <d v="2021-02-17T00:00:00"/>
    <x v="4"/>
    <x v="1"/>
    <x v="1"/>
    <n v="440"/>
    <n v="4"/>
    <n v="18"/>
    <n v="7920"/>
    <n v="712.8"/>
    <x v="82"/>
    <n v="4.0076400000000003"/>
    <n v="1760"/>
    <n v="5447.2"/>
    <n v="9.8049599999999995"/>
  </r>
  <r>
    <x v="2"/>
    <x v="5"/>
    <x v="0"/>
    <s v="CUST_ID_078"/>
    <s v="PROD_ID_001"/>
    <x v="75"/>
    <s v="Medium"/>
    <d v="2020-06-14T00:00:00"/>
    <x v="11"/>
    <x v="2"/>
    <x v="0"/>
    <n v="386"/>
    <n v="6"/>
    <n v="450"/>
    <n v="173700"/>
    <n v="15633"/>
    <x v="83"/>
    <n v="87.906000000000006"/>
    <n v="2316"/>
    <n v="155751"/>
    <n v="280.35179999999997"/>
  </r>
  <r>
    <x v="0"/>
    <x v="6"/>
    <x v="0"/>
    <s v="CUST_ID_079"/>
    <s v="PROD_ID_001"/>
    <x v="54"/>
    <s v="Medium"/>
    <d v="2021-04-29T00:00:00"/>
    <x v="5"/>
    <x v="2"/>
    <x v="1"/>
    <n v="2228"/>
    <n v="6"/>
    <n v="188"/>
    <n v="418864"/>
    <n v="37697.760000000002"/>
    <x v="84"/>
    <n v="211.23374999999999"/>
    <n v="13368"/>
    <n v="367798.24"/>
    <n v="662.036832"/>
  </r>
  <r>
    <x v="3"/>
    <x v="2"/>
    <x v="0"/>
    <s v="CUST_ID_043"/>
    <s v="PROD_ID_001"/>
    <x v="42"/>
    <s v="Medium"/>
    <d v="2021-11-30T00:00:00"/>
    <x v="6"/>
    <x v="3"/>
    <x v="1"/>
    <n v="1933"/>
    <n v="6"/>
    <n v="11"/>
    <n v="21263"/>
    <n v="1913.6699999999998"/>
    <x v="85"/>
    <n v="10.26207"/>
    <n v="11598"/>
    <n v="7751.3300000000017"/>
    <n v="13.952394000000004"/>
  </r>
  <r>
    <x v="2"/>
    <x v="7"/>
    <x v="0"/>
    <s v="CUST_ID_080"/>
    <s v="PROD_ID_001"/>
    <x v="66"/>
    <s v="Medium"/>
    <d v="2021-03-19T00:00:00"/>
    <x v="8"/>
    <x v="1"/>
    <x v="1"/>
    <n v="401"/>
    <n v="6"/>
    <n v="450"/>
    <n v="180450"/>
    <n v="16240.5"/>
    <x v="86"/>
    <n v="91.182000000000002"/>
    <n v="2406"/>
    <n v="161803.5"/>
    <n v="291.24630000000002"/>
  </r>
  <r>
    <x v="4"/>
    <x v="6"/>
    <x v="1"/>
    <s v="CUST_ID_071"/>
    <s v="PROD_ID_002"/>
    <x v="68"/>
    <s v="Medium"/>
    <d v="2021-06-25T00:00:00"/>
    <x v="11"/>
    <x v="2"/>
    <x v="1"/>
    <n v="440"/>
    <n v="12"/>
    <n v="18"/>
    <n v="7920"/>
    <n v="712.8"/>
    <x v="82"/>
    <n v="4.0076400000000003"/>
    <n v="5280"/>
    <n v="1927.1999999999998"/>
    <n v="3.4689599999999996"/>
  </r>
  <r>
    <x v="4"/>
    <x v="5"/>
    <x v="1"/>
    <s v="CUST_ID_014"/>
    <s v="PROD_ID_002"/>
    <x v="13"/>
    <s v="Medium"/>
    <d v="2021-03-09T00:00:00"/>
    <x v="8"/>
    <x v="1"/>
    <x v="1"/>
    <n v="2130"/>
    <n v="12"/>
    <n v="18"/>
    <n v="38340"/>
    <n v="3450.6"/>
    <x v="87"/>
    <n v="19.382999999999999"/>
    <n v="25560"/>
    <n v="9329.4000000000015"/>
    <n v="16.792920000000002"/>
  </r>
  <r>
    <x v="4"/>
    <x v="0"/>
    <x v="3"/>
    <s v="CUST_ID_081"/>
    <s v="PROD_ID_004"/>
    <x v="76"/>
    <s v="Medium"/>
    <d v="2020-07-11T00:00:00"/>
    <x v="3"/>
    <x v="0"/>
    <x v="0"/>
    <n v="2681"/>
    <n v="308"/>
    <n v="18"/>
    <n v="48258"/>
    <n v="4343.22"/>
    <x v="88"/>
    <n v="24.39528"/>
    <n v="825748"/>
    <n v="-781833.22"/>
    <n v="-1407.299796"/>
  </r>
  <r>
    <x v="1"/>
    <x v="1"/>
    <x v="5"/>
    <s v="CUST_ID_082"/>
    <s v="PROD_ID_006"/>
    <x v="77"/>
    <s v="Medium"/>
    <d v="2021-08-16T00:00:00"/>
    <x v="2"/>
    <x v="0"/>
    <x v="1"/>
    <n v="1164"/>
    <n v="320"/>
    <n v="23"/>
    <n v="26772"/>
    <n v="2409.48"/>
    <x v="89"/>
    <n v="13.240500000000001"/>
    <n v="372480"/>
    <n v="-348117.48"/>
    <n v="-626.61146399999996"/>
  </r>
  <r>
    <x v="3"/>
    <x v="7"/>
    <x v="3"/>
    <s v="CUST_ID_008"/>
    <s v="PROD_ID_004"/>
    <x v="7"/>
    <s v="Medium"/>
    <d v="2021-01-20T00:00:00"/>
    <x v="1"/>
    <x v="1"/>
    <x v="1"/>
    <n v="3218"/>
    <n v="308"/>
    <n v="30"/>
    <n v="96540"/>
    <n v="8688.6"/>
    <x v="90"/>
    <n v="48.812400000000004"/>
    <n v="991144"/>
    <n v="-903292.6"/>
    <n v="-1625.9266799999998"/>
  </r>
  <r>
    <x v="4"/>
    <x v="2"/>
    <x v="5"/>
    <s v="CUST_ID_083"/>
    <s v="PROD_ID_006"/>
    <x v="78"/>
    <s v="Medium"/>
    <d v="2020-11-12T00:00:00"/>
    <x v="6"/>
    <x v="3"/>
    <x v="0"/>
    <n v="367"/>
    <n v="320"/>
    <n v="18"/>
    <n v="6606"/>
    <n v="594.54000000000008"/>
    <x v="91"/>
    <n v="3.34152"/>
    <n v="117440"/>
    <n v="-111428.54"/>
    <n v="-200.571372"/>
  </r>
  <r>
    <x v="4"/>
    <x v="3"/>
    <x v="4"/>
    <s v="CUST_ID_084"/>
    <s v="PROD_ID_005"/>
    <x v="79"/>
    <s v="High"/>
    <d v="2021-08-21T00:00:00"/>
    <x v="2"/>
    <x v="0"/>
    <x v="1"/>
    <n v="463"/>
    <n v="4"/>
    <n v="18"/>
    <n v="8334"/>
    <n v="833.4"/>
    <x v="92"/>
    <n v="4.1688000000000001"/>
    <n v="1852"/>
    <n v="5648.6"/>
    <n v="10.167480000000001"/>
  </r>
  <r>
    <x v="4"/>
    <x v="4"/>
    <x v="1"/>
    <s v="CUST_ID_005"/>
    <s v="PROD_ID_002"/>
    <x v="4"/>
    <s v="High"/>
    <d v="2021-01-13T00:00:00"/>
    <x v="1"/>
    <x v="1"/>
    <x v="1"/>
    <n v="463"/>
    <n v="12"/>
    <n v="18"/>
    <n v="8334"/>
    <n v="833.4"/>
    <x v="92"/>
    <n v="4.1688000000000001"/>
    <n v="5556"/>
    <n v="1944.6000000000004"/>
    <n v="3.5002800000000005"/>
  </r>
  <r>
    <x v="0"/>
    <x v="4"/>
    <x v="4"/>
    <s v="CUST_ID_085"/>
    <s v="PROD_ID_005"/>
    <x v="80"/>
    <s v="High"/>
    <d v="2021-04-28T00:00:00"/>
    <x v="5"/>
    <x v="2"/>
    <x v="1"/>
    <n v="1778"/>
    <n v="4"/>
    <n v="188"/>
    <n v="334264"/>
    <n v="33426.400000000001"/>
    <x v="93"/>
    <n v="166.72499999999999"/>
    <n v="7112"/>
    <n v="293725.59999999998"/>
    <n v="528.70607999999993"/>
  </r>
  <r>
    <x v="0"/>
    <x v="4"/>
    <x v="0"/>
    <s v="CUST_ID_013"/>
    <s v="PROD_ID_001"/>
    <x v="12"/>
    <s v="High"/>
    <d v="2021-04-21T00:00:00"/>
    <x v="5"/>
    <x v="2"/>
    <x v="1"/>
    <n v="2165"/>
    <n v="6"/>
    <n v="188"/>
    <n v="407020"/>
    <n v="40702"/>
    <x v="94"/>
    <n v="202.95"/>
    <n v="12990"/>
    <n v="353328"/>
    <n v="635.99040000000002"/>
  </r>
  <r>
    <x v="1"/>
    <x v="1"/>
    <x v="1"/>
    <s v="CUST_ID_002"/>
    <s v="PROD_ID_002"/>
    <x v="1"/>
    <s v="High"/>
    <d v="2020-09-25T00:00:00"/>
    <x v="0"/>
    <x v="0"/>
    <x v="0"/>
    <n v="2600"/>
    <n v="12"/>
    <n v="23"/>
    <n v="59800"/>
    <n v="5980"/>
    <x v="95"/>
    <n v="29.2545"/>
    <n v="31200"/>
    <n v="22620"/>
    <n v="40.716000000000001"/>
  </r>
  <r>
    <x v="2"/>
    <x v="5"/>
    <x v="2"/>
    <s v="CUST_ID_086"/>
    <s v="PROD_ID_003"/>
    <x v="49"/>
    <s v="High"/>
    <d v="2021-04-11T00:00:00"/>
    <x v="5"/>
    <x v="2"/>
    <x v="1"/>
    <n v="2753"/>
    <n v="148"/>
    <n v="450"/>
    <n v="1238850"/>
    <n v="123885"/>
    <x v="96"/>
    <n v="619.38"/>
    <n v="407444"/>
    <n v="707521"/>
    <n v="1273.5378000000001"/>
  </r>
  <r>
    <x v="0"/>
    <x v="6"/>
    <x v="2"/>
    <s v="CUST_ID_007"/>
    <s v="PROD_ID_003"/>
    <x v="6"/>
    <s v="High"/>
    <d v="2020-02-08T00:00:00"/>
    <x v="4"/>
    <x v="1"/>
    <x v="0"/>
    <n v="2299"/>
    <n v="148"/>
    <n v="188"/>
    <n v="432212"/>
    <n v="43221.200000000004"/>
    <x v="97"/>
    <n v="215.55"/>
    <n v="340252"/>
    <n v="48738.799999999988"/>
    <n v="87.729839999999982"/>
  </r>
  <r>
    <x v="2"/>
    <x v="2"/>
    <x v="3"/>
    <s v="CUST_ID_075"/>
    <s v="PROD_ID_004"/>
    <x v="72"/>
    <s v="High"/>
    <d v="2021-06-18T00:00:00"/>
    <x v="11"/>
    <x v="2"/>
    <x v="1"/>
    <n v="2753"/>
    <n v="308"/>
    <n v="450"/>
    <n v="1238850"/>
    <n v="123885"/>
    <x v="96"/>
    <n v="619.38"/>
    <n v="847924"/>
    <n v="267041"/>
    <n v="480.67379999999997"/>
  </r>
  <r>
    <x v="1"/>
    <x v="6"/>
    <x v="3"/>
    <s v="CUST_ID_087"/>
    <s v="PROD_ID_004"/>
    <x v="50"/>
    <s v="High"/>
    <d v="2021-08-11T00:00:00"/>
    <x v="2"/>
    <x v="0"/>
    <x v="1"/>
    <n v="2600"/>
    <n v="308"/>
    <n v="23"/>
    <n v="59800"/>
    <n v="5980"/>
    <x v="95"/>
    <n v="29.2545"/>
    <n v="800800"/>
    <n v="-746980"/>
    <n v="-1344.5639999999999"/>
  </r>
  <r>
    <x v="3"/>
    <x v="7"/>
    <x v="3"/>
    <s v="CUST_ID_056"/>
    <s v="PROD_ID_004"/>
    <x v="55"/>
    <s v="High"/>
    <d v="2021-07-23T00:00:00"/>
    <x v="3"/>
    <x v="0"/>
    <x v="1"/>
    <n v="2244"/>
    <n v="308"/>
    <n v="525"/>
    <n v="1178100"/>
    <n v="117810"/>
    <x v="98"/>
    <n v="589.04999999999995"/>
    <n v="691152"/>
    <n v="369138"/>
    <n v="664.44839999999999"/>
  </r>
  <r>
    <x v="4"/>
    <x v="7"/>
    <x v="4"/>
    <s v="CUST_ID_088"/>
    <s v="PROD_ID_005"/>
    <x v="81"/>
    <s v="High"/>
    <d v="2021-04-21T00:00:00"/>
    <x v="5"/>
    <x v="2"/>
    <x v="1"/>
    <n v="1438"/>
    <n v="4"/>
    <n v="18"/>
    <n v="25884"/>
    <n v="2847.24"/>
    <x v="99"/>
    <n v="12.794639999999999"/>
    <n v="5752"/>
    <n v="17284.760000000002"/>
    <n v="31.112568000000003"/>
  </r>
  <r>
    <x v="4"/>
    <x v="0"/>
    <x v="1"/>
    <s v="CUST_ID_025"/>
    <s v="PROD_ID_002"/>
    <x v="24"/>
    <s v="High"/>
    <d v="2021-04-26T00:00:00"/>
    <x v="5"/>
    <x v="2"/>
    <x v="1"/>
    <n v="1438"/>
    <n v="12"/>
    <n v="18"/>
    <n v="25884"/>
    <n v="2847.24"/>
    <x v="99"/>
    <n v="12.794639999999999"/>
    <n v="17256"/>
    <n v="5780.760000000002"/>
    <n v="10.405368000000003"/>
  </r>
  <r>
    <x v="4"/>
    <x v="0"/>
    <x v="3"/>
    <s v="CUST_ID_089"/>
    <s v="PROD_ID_004"/>
    <x v="82"/>
    <s v="High"/>
    <d v="2020-06-22T00:00:00"/>
    <x v="11"/>
    <x v="2"/>
    <x v="0"/>
    <n v="1206"/>
    <n v="308"/>
    <n v="18"/>
    <n v="21708"/>
    <n v="2387.8799999999997"/>
    <x v="100"/>
    <n v="10.7334"/>
    <n v="371448"/>
    <n v="-352127.88"/>
    <n v="-633.83018400000003"/>
  </r>
  <r>
    <x v="1"/>
    <x v="1"/>
    <x v="4"/>
    <s v="CUST_ID_090"/>
    <s v="PROD_ID_005"/>
    <x v="83"/>
    <s v="High"/>
    <d v="2020-01-23T00:00:00"/>
    <x v="1"/>
    <x v="1"/>
    <x v="0"/>
    <n v="1872"/>
    <n v="4"/>
    <n v="23"/>
    <n v="43056"/>
    <n v="4736.16"/>
    <x v="101"/>
    <n v="20.826000000000001"/>
    <n v="7488"/>
    <n v="30831.839999999997"/>
    <n v="55.497311999999994"/>
  </r>
  <r>
    <x v="3"/>
    <x v="1"/>
    <x v="4"/>
    <s v="CUST_ID_066"/>
    <s v="PROD_ID_005"/>
    <x v="64"/>
    <s v="High"/>
    <d v="2021-03-25T00:00:00"/>
    <x v="8"/>
    <x v="1"/>
    <x v="1"/>
    <n v="3247"/>
    <n v="4"/>
    <n v="11"/>
    <n v="35717"/>
    <n v="3928.87"/>
    <x v="102"/>
    <n v="16.85838"/>
    <n v="12988"/>
    <n v="18800.13"/>
    <n v="33.840234000000002"/>
  </r>
  <r>
    <x v="3"/>
    <x v="4"/>
    <x v="0"/>
    <s v="CUST_ID_037"/>
    <s v="PROD_ID_001"/>
    <x v="36"/>
    <s v="High"/>
    <d v="2021-12-30T00:00:00"/>
    <x v="7"/>
    <x v="3"/>
    <x v="1"/>
    <n v="3590"/>
    <n v="6"/>
    <n v="30"/>
    <n v="107700"/>
    <n v="11847"/>
    <x v="103"/>
    <n v="53.257599999999996"/>
    <n v="21540"/>
    <n v="74313"/>
    <n v="133.76339999999999"/>
  </r>
  <r>
    <x v="3"/>
    <x v="7"/>
    <x v="1"/>
    <s v="CUST_ID_072"/>
    <s v="PROD_ID_002"/>
    <x v="69"/>
    <s v="High"/>
    <d v="2021-04-15T00:00:00"/>
    <x v="5"/>
    <x v="2"/>
    <x v="1"/>
    <n v="3590"/>
    <n v="12"/>
    <n v="30"/>
    <n v="107700"/>
    <n v="11847"/>
    <x v="103"/>
    <n v="53.257599999999996"/>
    <n v="43080"/>
    <n v="52773"/>
    <n v="94.991399999999999"/>
  </r>
  <r>
    <x v="3"/>
    <x v="5"/>
    <x v="2"/>
    <s v="CUST_ID_054"/>
    <s v="PROD_ID_003"/>
    <x v="53"/>
    <s v="High"/>
    <d v="2020-10-09T00:00:00"/>
    <x v="9"/>
    <x v="3"/>
    <x v="0"/>
    <n v="3366"/>
    <n v="148"/>
    <n v="30"/>
    <n v="100980"/>
    <n v="11107.8"/>
    <x v="104"/>
    <n v="49.929000000000002"/>
    <n v="498168"/>
    <n v="-408295.8"/>
    <n v="-734.93243999999993"/>
  </r>
  <r>
    <x v="1"/>
    <x v="2"/>
    <x v="2"/>
    <s v="CUST_ID_091"/>
    <s v="PROD_ID_003"/>
    <x v="84"/>
    <s v="High"/>
    <d v="2020-10-31T00:00:00"/>
    <x v="9"/>
    <x v="3"/>
    <x v="0"/>
    <n v="786"/>
    <n v="148"/>
    <n v="23"/>
    <n v="18078"/>
    <n v="1988.58"/>
    <x v="105"/>
    <n v="8.7442499999999992"/>
    <n v="116328"/>
    <n v="-100238.58"/>
    <n v="-180.42944399999999"/>
  </r>
  <r>
    <x v="3"/>
    <x v="6"/>
    <x v="2"/>
    <s v="CUST_ID_031"/>
    <s v="PROD_ID_003"/>
    <x v="30"/>
    <s v="High"/>
    <d v="2021-04-03T00:00:00"/>
    <x v="5"/>
    <x v="2"/>
    <x v="1"/>
    <n v="413"/>
    <n v="148"/>
    <n v="525"/>
    <n v="216825"/>
    <n v="23850.75"/>
    <x v="106"/>
    <n v="107.15600000000001"/>
    <n v="61124"/>
    <n v="131850.25"/>
    <n v="237.33044999999998"/>
  </r>
  <r>
    <x v="3"/>
    <x v="6"/>
    <x v="3"/>
    <s v="CUST_ID_055"/>
    <s v="PROD_ID_004"/>
    <x v="54"/>
    <s v="High"/>
    <d v="2021-03-09T00:00:00"/>
    <x v="8"/>
    <x v="1"/>
    <x v="1"/>
    <n v="3522"/>
    <n v="308"/>
    <n v="30"/>
    <n v="105660"/>
    <n v="11622.6"/>
    <x v="107"/>
    <n v="52.243000000000002"/>
    <n v="1084776"/>
    <n v="-990738.6"/>
    <n v="-1783.3294799999999"/>
  </r>
  <r>
    <x v="0"/>
    <x v="3"/>
    <x v="5"/>
    <s v="CUST_ID_092"/>
    <s v="PROD_ID_006"/>
    <x v="85"/>
    <s v="High"/>
    <d v="2020-10-24T00:00:00"/>
    <x v="9"/>
    <x v="3"/>
    <x v="0"/>
    <n v="1136"/>
    <n v="320"/>
    <n v="188"/>
    <n v="213568"/>
    <n v="23492.48"/>
    <x v="108"/>
    <n v="105.35375000000001"/>
    <n v="363520"/>
    <n v="-173444.48000000001"/>
    <n v="-312.200064"/>
  </r>
  <r>
    <x v="3"/>
    <x v="4"/>
    <x v="5"/>
    <s v="CUST_ID_093"/>
    <s v="PROD_ID_006"/>
    <x v="56"/>
    <s v="High"/>
    <d v="2021-10-03T00:00:00"/>
    <x v="9"/>
    <x v="3"/>
    <x v="1"/>
    <n v="413"/>
    <n v="320"/>
    <n v="525"/>
    <n v="216825"/>
    <n v="23850.75"/>
    <x v="106"/>
    <n v="107.15600000000001"/>
    <n v="132160"/>
    <n v="60814.25"/>
    <n v="109.46565"/>
  </r>
  <r>
    <x v="3"/>
    <x v="2"/>
    <x v="1"/>
    <s v="CUST_ID_027"/>
    <s v="PROD_ID_002"/>
    <x v="26"/>
    <s v="High"/>
    <d v="2021-04-30T00:00:00"/>
    <x v="5"/>
    <x v="2"/>
    <x v="1"/>
    <n v="456"/>
    <n v="12"/>
    <n v="11"/>
    <n v="5016"/>
    <n v="551.7600000000001"/>
    <x v="109"/>
    <n v="2.3673999999999999"/>
    <n v="5472"/>
    <n v="-1007.7600000000002"/>
    <n v="-1.8139680000000002"/>
  </r>
  <r>
    <x v="0"/>
    <x v="5"/>
    <x v="4"/>
    <s v="CUST_ID_094"/>
    <s v="PROD_ID_005"/>
    <x v="86"/>
    <s v="High"/>
    <d v="2020-11-11T00:00:00"/>
    <x v="6"/>
    <x v="3"/>
    <x v="0"/>
    <n v="2899"/>
    <n v="4"/>
    <n v="188"/>
    <n v="545012"/>
    <n v="65401.439999999995"/>
    <x v="110"/>
    <n v="265.76"/>
    <n v="11596"/>
    <n v="468014.56"/>
    <n v="842.42620799999997"/>
  </r>
  <r>
    <x v="3"/>
    <x v="0"/>
    <x v="0"/>
    <s v="CUST_ID_049"/>
    <s v="PROD_ID_001"/>
    <x v="48"/>
    <s v="High"/>
    <d v="2021-12-12T00:00:00"/>
    <x v="7"/>
    <x v="3"/>
    <x v="1"/>
    <n v="2058"/>
    <n v="6"/>
    <n v="30"/>
    <n v="61740"/>
    <n v="7408.7999999999993"/>
    <x v="111"/>
    <n v="30.184000000000001"/>
    <n v="12348"/>
    <n v="41983.199999999997"/>
    <n v="75.569759999999988"/>
  </r>
  <r>
    <x v="2"/>
    <x v="5"/>
    <x v="0"/>
    <s v="CUST_ID_078"/>
    <s v="PROD_ID_001"/>
    <x v="75"/>
    <s v="High"/>
    <d v="2021-07-17T00:00:00"/>
    <x v="3"/>
    <x v="0"/>
    <x v="1"/>
    <n v="1423"/>
    <n v="6"/>
    <n v="450"/>
    <n v="640350"/>
    <n v="76842"/>
    <x v="112"/>
    <n v="313.10399999999998"/>
    <n v="8538"/>
    <n v="554970"/>
    <n v="998.94600000000003"/>
  </r>
  <r>
    <x v="3"/>
    <x v="7"/>
    <x v="1"/>
    <s v="CUST_ID_040"/>
    <s v="PROD_ID_002"/>
    <x v="39"/>
    <s v="High"/>
    <d v="2021-10-19T00:00:00"/>
    <x v="9"/>
    <x v="3"/>
    <x v="1"/>
    <n v="2058"/>
    <n v="12"/>
    <n v="30"/>
    <n v="61740"/>
    <n v="7408.7999999999993"/>
    <x v="111"/>
    <n v="30.184000000000001"/>
    <n v="24696"/>
    <n v="29635.199999999997"/>
    <n v="53.34335999999999"/>
  </r>
  <r>
    <x v="1"/>
    <x v="3"/>
    <x v="1"/>
    <s v="CUST_ID_044"/>
    <s v="PROD_ID_002"/>
    <x v="43"/>
    <s v="High"/>
    <d v="2021-05-17T00:00:00"/>
    <x v="10"/>
    <x v="2"/>
    <x v="1"/>
    <n v="456"/>
    <n v="12"/>
    <n v="23"/>
    <n v="10488"/>
    <n v="1258.56"/>
    <x v="113"/>
    <n v="5.016"/>
    <n v="5472"/>
    <n v="3757.4400000000005"/>
    <n v="6.7633920000000005"/>
  </r>
  <r>
    <x v="3"/>
    <x v="6"/>
    <x v="3"/>
    <s v="CUST_ID_055"/>
    <s v="PROD_ID_004"/>
    <x v="54"/>
    <s v="High"/>
    <d v="2020-02-28T00:00:00"/>
    <x v="4"/>
    <x v="1"/>
    <x v="0"/>
    <n v="748"/>
    <n v="308"/>
    <n v="525"/>
    <n v="392700"/>
    <n v="47124"/>
    <x v="114"/>
    <n v="191.88399999999999"/>
    <n v="230384"/>
    <n v="115192"/>
    <n v="207.34559999999999"/>
  </r>
  <r>
    <x v="1"/>
    <x v="5"/>
    <x v="5"/>
    <s v="CUST_ID_046"/>
    <s v="PROD_ID_006"/>
    <x v="45"/>
    <s v="High"/>
    <d v="2020-12-16T00:00:00"/>
    <x v="7"/>
    <x v="3"/>
    <x v="0"/>
    <n v="3058"/>
    <n v="320"/>
    <n v="23"/>
    <n v="70334"/>
    <n v="8440.08"/>
    <x v="115"/>
    <n v="33.633600000000001"/>
    <n v="978560"/>
    <n v="-916666.08"/>
    <n v="-1649.9989439999999"/>
  </r>
  <r>
    <x v="4"/>
    <x v="6"/>
    <x v="5"/>
    <s v="CUST_ID_095"/>
    <s v="PROD_ID_006"/>
    <x v="87"/>
    <s v="High"/>
    <d v="2020-01-07T00:00:00"/>
    <x v="1"/>
    <x v="1"/>
    <x v="0"/>
    <n v="3313"/>
    <n v="320"/>
    <n v="18"/>
    <n v="59634"/>
    <n v="7156.0800000000008"/>
    <x v="116"/>
    <n v="29.15616"/>
    <n v="1060160"/>
    <n v="-1007682.08"/>
    <n v="-1813.8277439999999"/>
  </r>
  <r>
    <x v="3"/>
    <x v="7"/>
    <x v="4"/>
    <s v="CUST_ID_048"/>
    <s v="PROD_ID_005"/>
    <x v="47"/>
    <s v="High"/>
    <d v="2020-03-22T00:00:00"/>
    <x v="8"/>
    <x v="1"/>
    <x v="0"/>
    <n v="530"/>
    <n v="4"/>
    <n v="30"/>
    <n v="15900"/>
    <n v="2067"/>
    <x v="117"/>
    <n v="7.6908000000000003"/>
    <n v="2120"/>
    <n v="11713"/>
    <n v="21.083400000000001"/>
  </r>
  <r>
    <x v="1"/>
    <x v="7"/>
    <x v="2"/>
    <s v="CUST_ID_096"/>
    <s v="PROD_ID_003"/>
    <x v="88"/>
    <s v="High"/>
    <d v="2021-07-04T00:00:00"/>
    <x v="3"/>
    <x v="0"/>
    <x v="1"/>
    <n v="792"/>
    <n v="148"/>
    <n v="23"/>
    <n v="18216"/>
    <n v="2368.08"/>
    <x v="118"/>
    <n v="8.6129999999999995"/>
    <n v="117216"/>
    <n v="-101368.08"/>
    <n v="-182.46254400000001"/>
  </r>
  <r>
    <x v="2"/>
    <x v="0"/>
    <x v="2"/>
    <s v="CUST_ID_097"/>
    <s v="PROD_ID_003"/>
    <x v="89"/>
    <s v="High"/>
    <d v="2021-08-21T00:00:00"/>
    <x v="2"/>
    <x v="0"/>
    <x v="1"/>
    <n v="3126"/>
    <n v="148"/>
    <n v="450"/>
    <n v="1406700"/>
    <n v="182871"/>
    <x v="119"/>
    <n v="679.90499999999997"/>
    <n v="462648"/>
    <n v="761181"/>
    <n v="1370.1258"/>
  </r>
  <r>
    <x v="4"/>
    <x v="1"/>
    <x v="5"/>
    <s v="CUST_ID_098"/>
    <s v="PROD_ID_006"/>
    <x v="71"/>
    <s v="High"/>
    <d v="2020-01-21T00:00:00"/>
    <x v="1"/>
    <x v="1"/>
    <x v="0"/>
    <n v="2124"/>
    <n v="320"/>
    <n v="18"/>
    <n v="38232"/>
    <n v="4970.16"/>
    <x v="120"/>
    <n v="18.4788"/>
    <n v="679680"/>
    <n v="-646418.16"/>
    <n v="-1163.552688"/>
  </r>
  <r>
    <x v="3"/>
    <x v="0"/>
    <x v="4"/>
    <s v="CUST_ID_057"/>
    <s v="PROD_ID_005"/>
    <x v="56"/>
    <s v="High"/>
    <d v="2020-06-04T00:00:00"/>
    <x v="11"/>
    <x v="2"/>
    <x v="0"/>
    <n v="3595"/>
    <n v="4"/>
    <n v="11"/>
    <n v="39545"/>
    <n v="5536.2999999999993"/>
    <x v="121"/>
    <n v="18.035919999999997"/>
    <n v="14380"/>
    <n v="19628.699999999997"/>
    <n v="35.331659999999992"/>
  </r>
  <r>
    <x v="3"/>
    <x v="2"/>
    <x v="0"/>
    <s v="CUST_ID_099"/>
    <s v="PROD_ID_001"/>
    <x v="72"/>
    <s v="High"/>
    <d v="2021-03-06T00:00:00"/>
    <x v="8"/>
    <x v="1"/>
    <x v="1"/>
    <n v="3595"/>
    <n v="6"/>
    <n v="11"/>
    <n v="39545"/>
    <n v="5536.2999999999993"/>
    <x v="121"/>
    <n v="18.035919999999997"/>
    <n v="21570"/>
    <n v="12438.699999999997"/>
    <n v="22.389659999999996"/>
  </r>
  <r>
    <x v="4"/>
    <x v="1"/>
    <x v="5"/>
    <s v="CUST_ID_018"/>
    <s v="PROD_ID_006"/>
    <x v="17"/>
    <s v="High"/>
    <d v="2021-08-07T00:00:00"/>
    <x v="2"/>
    <x v="0"/>
    <x v="1"/>
    <n v="2418"/>
    <n v="320"/>
    <n v="18"/>
    <n v="43524"/>
    <n v="6093.36"/>
    <x v="122"/>
    <n v="20.794799999999999"/>
    <n v="773760"/>
    <n v="-736329.36"/>
    <n v="-1325.392848"/>
  </r>
  <r>
    <x v="0"/>
    <x v="4"/>
    <x v="4"/>
    <s v="CUST_ID_085"/>
    <s v="PROD_ID_005"/>
    <x v="80"/>
    <s v="High"/>
    <d v="2020-03-28T00:00:00"/>
    <x v="8"/>
    <x v="1"/>
    <x v="0"/>
    <n v="1228"/>
    <n v="4"/>
    <n v="188"/>
    <n v="230864"/>
    <n v="32320.960000000003"/>
    <x v="123"/>
    <n v="109.9725"/>
    <n v="4912"/>
    <n v="193631.04"/>
    <n v="348.53587199999998"/>
  </r>
  <r>
    <x v="0"/>
    <x v="3"/>
    <x v="4"/>
    <s v="CUST_ID_100"/>
    <s v="PROD_ID_005"/>
    <x v="73"/>
    <s v="High"/>
    <d v="2021-07-08T00:00:00"/>
    <x v="3"/>
    <x v="0"/>
    <x v="1"/>
    <n v="3385"/>
    <n v="4"/>
    <n v="188"/>
    <n v="636380"/>
    <n v="89093.200000000012"/>
    <x v="124"/>
    <n v="303.25749999999999"/>
    <n v="13540"/>
    <n v="533746.80000000005"/>
    <n v="960.7442400000001"/>
  </r>
  <r>
    <x v="3"/>
    <x v="0"/>
    <x v="0"/>
    <s v="CUST_ID_049"/>
    <s v="PROD_ID_001"/>
    <x v="48"/>
    <s v="High"/>
    <d v="2020-11-16T00:00:00"/>
    <x v="6"/>
    <x v="3"/>
    <x v="0"/>
    <n v="2072"/>
    <n v="6"/>
    <n v="11"/>
    <n v="22792"/>
    <n v="3190.88"/>
    <x v="125"/>
    <n v="10.396540000000002"/>
    <n v="12432"/>
    <n v="7169.119999999999"/>
    <n v="12.904415999999998"/>
  </r>
  <r>
    <x v="1"/>
    <x v="5"/>
    <x v="1"/>
    <s v="CUST_ID_006"/>
    <s v="PROD_ID_002"/>
    <x v="5"/>
    <s v="High"/>
    <d v="2020-04-01T00:00:00"/>
    <x v="5"/>
    <x v="2"/>
    <x v="0"/>
    <n v="2964"/>
    <n v="12"/>
    <n v="23"/>
    <n v="68172"/>
    <n v="9544.0800000000017"/>
    <x v="126"/>
    <n v="31.863"/>
    <n v="35568"/>
    <n v="23059.919999999998"/>
    <n v="41.507855999999997"/>
  </r>
  <r>
    <x v="1"/>
    <x v="5"/>
    <x v="1"/>
    <s v="CUST_ID_006"/>
    <s v="PROD_ID_002"/>
    <x v="5"/>
    <s v="High"/>
    <d v="2021-04-22T00:00:00"/>
    <x v="5"/>
    <x v="2"/>
    <x v="1"/>
    <n v="2092"/>
    <n v="12"/>
    <n v="23"/>
    <n v="48116"/>
    <n v="6736.2400000000007"/>
    <x v="127"/>
    <n v="22.4847"/>
    <n v="25104"/>
    <n v="16275.760000000002"/>
    <n v="29.296368000000005"/>
  </r>
  <r>
    <x v="4"/>
    <x v="3"/>
    <x v="1"/>
    <s v="CUST_ID_060"/>
    <s v="PROD_ID_002"/>
    <x v="41"/>
    <s v="High"/>
    <d v="2020-05-01T00:00:00"/>
    <x v="10"/>
    <x v="2"/>
    <x v="0"/>
    <n v="2666"/>
    <n v="12"/>
    <n v="18"/>
    <n v="47988"/>
    <n v="6718.3200000000006"/>
    <x v="128"/>
    <n v="22.931039999999999"/>
    <n v="31992"/>
    <n v="9277.68"/>
    <n v="16.699824"/>
  </r>
  <r>
    <x v="3"/>
    <x v="3"/>
    <x v="1"/>
    <s v="CUST_ID_052"/>
    <s v="PROD_ID_002"/>
    <x v="51"/>
    <s v="High"/>
    <d v="2021-06-19T00:00:00"/>
    <x v="11"/>
    <x v="2"/>
    <x v="1"/>
    <n v="2306"/>
    <n v="12"/>
    <n v="525"/>
    <n v="1210650"/>
    <n v="169491.00000000003"/>
    <x v="129"/>
    <n v="578.52200000000005"/>
    <n v="27672"/>
    <n v="1013487"/>
    <n v="1824.2765999999999"/>
  </r>
  <r>
    <x v="2"/>
    <x v="4"/>
    <x v="2"/>
    <s v="CUST_ID_101"/>
    <s v="PROD_ID_003"/>
    <x v="52"/>
    <s v="High"/>
    <d v="2021-01-08T00:00:00"/>
    <x v="1"/>
    <x v="1"/>
    <x v="1"/>
    <n v="323"/>
    <n v="148"/>
    <n v="450"/>
    <n v="145350"/>
    <n v="20349.000000000004"/>
    <x v="130"/>
    <n v="69.402000000000001"/>
    <n v="47804"/>
    <n v="77197"/>
    <n v="138.9546"/>
  </r>
  <r>
    <x v="2"/>
    <x v="5"/>
    <x v="2"/>
    <s v="CUST_ID_102"/>
    <s v="PROD_ID_003"/>
    <x v="90"/>
    <s v="High"/>
    <d v="2021-09-03T00:00:00"/>
    <x v="0"/>
    <x v="0"/>
    <x v="1"/>
    <n v="3043"/>
    <n v="148"/>
    <n v="450"/>
    <n v="1369350"/>
    <n v="191709.00000000003"/>
    <x v="131"/>
    <n v="654.28800000000001"/>
    <n v="450364"/>
    <n v="727277"/>
    <n v="1309.0986"/>
  </r>
  <r>
    <x v="2"/>
    <x v="6"/>
    <x v="3"/>
    <s v="CUST_ID_063"/>
    <s v="PROD_ID_004"/>
    <x v="61"/>
    <s v="High"/>
    <d v="2021-10-19T00:00:00"/>
    <x v="9"/>
    <x v="3"/>
    <x v="1"/>
    <n v="323"/>
    <n v="308"/>
    <n v="450"/>
    <n v="145350"/>
    <n v="20349.000000000004"/>
    <x v="130"/>
    <n v="69.402000000000001"/>
    <n v="99484"/>
    <n v="25517"/>
    <n v="45.930599999999998"/>
  </r>
  <r>
    <x v="3"/>
    <x v="7"/>
    <x v="3"/>
    <s v="CUST_ID_008"/>
    <s v="PROD_ID_004"/>
    <x v="7"/>
    <s v="High"/>
    <d v="2021-01-19T00:00:00"/>
    <x v="1"/>
    <x v="1"/>
    <x v="1"/>
    <n v="1537"/>
    <n v="308"/>
    <n v="525"/>
    <n v="806925"/>
    <n v="112969.50000000001"/>
    <x v="132"/>
    <n v="385.58100000000002"/>
    <n v="473396"/>
    <n v="220559.5"/>
    <n v="397.00709999999998"/>
  </r>
  <r>
    <x v="1"/>
    <x v="6"/>
    <x v="5"/>
    <s v="CUST_ID_103"/>
    <s v="PROD_ID_006"/>
    <x v="91"/>
    <s v="High"/>
    <d v="2020-10-07T00:00:00"/>
    <x v="9"/>
    <x v="3"/>
    <x v="0"/>
    <n v="2092"/>
    <n v="320"/>
    <n v="23"/>
    <n v="48116"/>
    <n v="6736.2400000000007"/>
    <x v="127"/>
    <n v="22.4847"/>
    <n v="669440"/>
    <n v="-628060.24"/>
    <n v="-1130.5084319999999"/>
  </r>
  <r>
    <x v="3"/>
    <x v="4"/>
    <x v="5"/>
    <s v="CUST_ID_093"/>
    <s v="PROD_ID_006"/>
    <x v="56"/>
    <s v="High"/>
    <d v="2021-11-30T00:00:00"/>
    <x v="6"/>
    <x v="3"/>
    <x v="1"/>
    <n v="2072"/>
    <n v="320"/>
    <n v="11"/>
    <n v="22792"/>
    <n v="3190.88"/>
    <x v="125"/>
    <n v="10.396540000000002"/>
    <n v="663040"/>
    <n v="-643438.88"/>
    <n v="-1158.1899839999999"/>
  </r>
  <r>
    <x v="1"/>
    <x v="7"/>
    <x v="5"/>
    <s v="CUST_ID_104"/>
    <s v="PROD_ID_006"/>
    <x v="92"/>
    <s v="High"/>
    <d v="2020-11-21T00:00:00"/>
    <x v="6"/>
    <x v="3"/>
    <x v="0"/>
    <n v="2244"/>
    <n v="320"/>
    <n v="23"/>
    <n v="51612"/>
    <n v="7225.68"/>
    <x v="133"/>
    <n v="24.123000000000001"/>
    <n v="718080"/>
    <n v="-673693.68"/>
    <n v="-1212.6486240000002"/>
  </r>
  <r>
    <x v="3"/>
    <x v="2"/>
    <x v="1"/>
    <s v="CUST_ID_027"/>
    <s v="PROD_ID_002"/>
    <x v="26"/>
    <s v="High"/>
    <d v="2020-03-21T00:00:00"/>
    <x v="8"/>
    <x v="1"/>
    <x v="0"/>
    <n v="320"/>
    <n v="12"/>
    <n v="30"/>
    <n v="9600"/>
    <n v="1440"/>
    <x v="134"/>
    <n v="4.5389999999999997"/>
    <n v="3840"/>
    <n v="4320"/>
    <n v="7.7759999999999998"/>
  </r>
  <r>
    <x v="3"/>
    <x v="2"/>
    <x v="1"/>
    <s v="CUST_ID_027"/>
    <s v="PROD_ID_002"/>
    <x v="26"/>
    <s v="High"/>
    <d v="2021-09-02T00:00:00"/>
    <x v="0"/>
    <x v="0"/>
    <x v="1"/>
    <n v="2408"/>
    <n v="12"/>
    <n v="525"/>
    <n v="1264200"/>
    <n v="189630"/>
    <x v="135"/>
    <n v="597.08249999999998"/>
    <n v="28896"/>
    <n v="1045674"/>
    <n v="1882.2131999999999"/>
  </r>
  <r>
    <x v="3"/>
    <x v="7"/>
    <x v="1"/>
    <s v="CUST_ID_040"/>
    <s v="PROD_ID_002"/>
    <x v="39"/>
    <s v="High"/>
    <d v="2020-02-01T00:00:00"/>
    <x v="4"/>
    <x v="1"/>
    <x v="0"/>
    <n v="2581"/>
    <n v="12"/>
    <n v="525"/>
    <n v="1355025"/>
    <n v="203253.75"/>
    <x v="136"/>
    <n v="639.92250000000001"/>
    <n v="30972"/>
    <n v="1120799.25"/>
    <n v="2017.4386500000001"/>
  </r>
  <r>
    <x v="2"/>
    <x v="5"/>
    <x v="2"/>
    <s v="CUST_ID_086"/>
    <s v="PROD_ID_003"/>
    <x v="49"/>
    <s v="High"/>
    <d v="2021-06-13T00:00:00"/>
    <x v="11"/>
    <x v="2"/>
    <x v="1"/>
    <n v="3089"/>
    <n v="148"/>
    <n v="450"/>
    <n v="1390050"/>
    <n v="208507.5"/>
    <x v="137"/>
    <n v="656.37"/>
    <n v="457172"/>
    <n v="724370.5"/>
    <n v="1303.8669"/>
  </r>
  <r>
    <x v="0"/>
    <x v="6"/>
    <x v="2"/>
    <s v="CUST_ID_015"/>
    <s v="PROD_ID_003"/>
    <x v="14"/>
    <s v="High"/>
    <d v="2020-03-02T00:00:00"/>
    <x v="8"/>
    <x v="1"/>
    <x v="0"/>
    <n v="2926"/>
    <n v="148"/>
    <n v="188"/>
    <n v="550088"/>
    <n v="82513.2"/>
    <x v="138"/>
    <n v="259.03750000000002"/>
    <n v="433048"/>
    <n v="34526.799999999988"/>
    <n v="62.14823999999998"/>
  </r>
  <r>
    <x v="3"/>
    <x v="0"/>
    <x v="3"/>
    <s v="CUST_ID_033"/>
    <s v="PROD_ID_004"/>
    <x v="32"/>
    <s v="High"/>
    <d v="2020-10-27T00:00:00"/>
    <x v="9"/>
    <x v="3"/>
    <x v="0"/>
    <n v="320"/>
    <n v="308"/>
    <n v="30"/>
    <n v="9600"/>
    <n v="1440"/>
    <x v="134"/>
    <n v="4.5389999999999997"/>
    <n v="98560"/>
    <n v="-90400"/>
    <n v="-162.72"/>
  </r>
  <r>
    <x v="0"/>
    <x v="0"/>
    <x v="3"/>
    <s v="CUST_ID_105"/>
    <s v="PROD_ID_004"/>
    <x v="38"/>
    <s v="High"/>
    <d v="2020-02-22T00:00:00"/>
    <x v="4"/>
    <x v="1"/>
    <x v="0"/>
    <n v="3545"/>
    <n v="308"/>
    <n v="188"/>
    <n v="666460"/>
    <n v="99969"/>
    <x v="139"/>
    <n v="313.86250000000001"/>
    <n v="1091860"/>
    <n v="-525369"/>
    <n v="-945.66419999999994"/>
  </r>
  <r>
    <x v="3"/>
    <x v="1"/>
    <x v="4"/>
    <s v="CUST_ID_042"/>
    <s v="PROD_ID_005"/>
    <x v="41"/>
    <s v="None"/>
    <d v="2020-03-02T00:00:00"/>
    <x v="8"/>
    <x v="1"/>
    <x v="0"/>
    <n v="1942"/>
    <n v="4"/>
    <n v="30"/>
    <n v="58260"/>
    <n v="0"/>
    <x v="140"/>
    <n v="32.369999999999997"/>
    <n v="7768"/>
    <n v="50492"/>
    <n v="90.885599999999997"/>
  </r>
  <r>
    <x v="3"/>
    <x v="7"/>
    <x v="4"/>
    <s v="CUST_ID_048"/>
    <s v="PROD_ID_005"/>
    <x v="47"/>
    <s v="None"/>
    <d v="2020-03-08T00:00:00"/>
    <x v="8"/>
    <x v="1"/>
    <x v="0"/>
    <n v="1585"/>
    <n v="4"/>
    <n v="30"/>
    <n v="47550"/>
    <n v="0"/>
    <x v="141"/>
    <n v="26.42"/>
    <n v="6340"/>
    <n v="41210"/>
    <n v="74.177999999999997"/>
  </r>
  <r>
    <x v="1"/>
    <x v="1"/>
    <x v="4"/>
    <s v="CUST_ID_106"/>
    <s v="PROD_ID_005"/>
    <x v="57"/>
    <s v="None"/>
    <d v="2021-11-08T00:00:00"/>
    <x v="6"/>
    <x v="3"/>
    <x v="1"/>
    <n v="2614"/>
    <n v="4"/>
    <n v="23"/>
    <n v="60122"/>
    <n v="0"/>
    <x v="142"/>
    <n v="32.67"/>
    <n v="10456"/>
    <n v="49666"/>
    <n v="89.398799999999994"/>
  </r>
  <r>
    <x v="1"/>
    <x v="2"/>
    <x v="4"/>
    <s v="CUST_ID_107"/>
    <s v="PROD_ID_005"/>
    <x v="93"/>
    <s v="None"/>
    <d v="2020-05-18T00:00:00"/>
    <x v="10"/>
    <x v="2"/>
    <x v="0"/>
    <n v="1066"/>
    <n v="4"/>
    <n v="23"/>
    <n v="24518"/>
    <n v="0"/>
    <x v="143"/>
    <n v="13.32"/>
    <n v="4264"/>
    <n v="20254"/>
    <n v="36.4572"/>
  </r>
  <r>
    <x v="1"/>
    <x v="3"/>
    <x v="4"/>
    <s v="CUST_ID_108"/>
    <s v="PROD_ID_005"/>
    <x v="79"/>
    <s v="None"/>
    <d v="2021-09-16T00:00:00"/>
    <x v="0"/>
    <x v="0"/>
    <x v="1"/>
    <n v="2964"/>
    <n v="4"/>
    <n v="23"/>
    <n v="68172"/>
    <n v="0"/>
    <x v="144"/>
    <n v="37.049999999999997"/>
    <n v="11856"/>
    <n v="56316"/>
    <n v="101.36879999999999"/>
  </r>
  <r>
    <x v="3"/>
    <x v="7"/>
    <x v="4"/>
    <s v="CUST_ID_048"/>
    <s v="PROD_ID_005"/>
    <x v="47"/>
    <s v="None"/>
    <d v="2021-01-11T00:00:00"/>
    <x v="1"/>
    <x v="1"/>
    <x v="1"/>
    <n v="1816"/>
    <n v="4"/>
    <n v="525"/>
    <n v="953400"/>
    <n v="0"/>
    <x v="145"/>
    <n v="529.54999999999995"/>
    <n v="7264"/>
    <n v="946136"/>
    <n v="1703.0447999999999"/>
  </r>
  <r>
    <x v="1"/>
    <x v="4"/>
    <x v="0"/>
    <s v="CUST_ID_109"/>
    <s v="PROD_ID_001"/>
    <x v="80"/>
    <s v="None"/>
    <d v="2021-10-23T00:00:00"/>
    <x v="9"/>
    <x v="3"/>
    <x v="1"/>
    <n v="1105"/>
    <n v="6"/>
    <n v="23"/>
    <n v="25415"/>
    <n v="0"/>
    <x v="146"/>
    <n v="13.815"/>
    <n v="6630"/>
    <n v="18785"/>
    <n v="33.813000000000002"/>
  </r>
  <r>
    <x v="4"/>
    <x v="5"/>
    <x v="0"/>
    <s v="CUST_ID_110"/>
    <s v="PROD_ID_001"/>
    <x v="49"/>
    <s v="None"/>
    <d v="2020-10-24T00:00:00"/>
    <x v="9"/>
    <x v="3"/>
    <x v="0"/>
    <n v="3022"/>
    <n v="6"/>
    <n v="18"/>
    <n v="54396"/>
    <n v="0"/>
    <x v="147"/>
    <n v="30.216000000000001"/>
    <n v="18132"/>
    <n v="36264"/>
    <n v="65.275199999999998"/>
  </r>
  <r>
    <x v="3"/>
    <x v="2"/>
    <x v="0"/>
    <s v="CUST_ID_059"/>
    <s v="PROD_ID_001"/>
    <x v="58"/>
    <s v="None"/>
    <d v="2021-01-02T00:00:00"/>
    <x v="1"/>
    <x v="1"/>
    <x v="1"/>
    <n v="2279"/>
    <n v="6"/>
    <n v="30"/>
    <n v="68370"/>
    <n v="0"/>
    <x v="148"/>
    <n v="37.979999999999997"/>
    <n v="13674"/>
    <n v="54696"/>
    <n v="98.452799999999996"/>
  </r>
  <r>
    <x v="4"/>
    <x v="6"/>
    <x v="0"/>
    <s v="CUST_ID_111"/>
    <s v="PROD_ID_001"/>
    <x v="50"/>
    <s v="None"/>
    <d v="2020-03-14T00:00:00"/>
    <x v="8"/>
    <x v="1"/>
    <x v="0"/>
    <n v="1854"/>
    <n v="6"/>
    <n v="18"/>
    <n v="33372"/>
    <n v="0"/>
    <x v="149"/>
    <n v="18.54"/>
    <n v="11124"/>
    <n v="22248"/>
    <n v="40.046399999999998"/>
  </r>
  <r>
    <x v="1"/>
    <x v="7"/>
    <x v="0"/>
    <s v="CUST_ID_112"/>
    <s v="PROD_ID_001"/>
    <x v="81"/>
    <s v="None"/>
    <d v="2020-07-29T00:00:00"/>
    <x v="3"/>
    <x v="0"/>
    <x v="0"/>
    <n v="2964"/>
    <n v="6"/>
    <n v="23"/>
    <n v="68172"/>
    <n v="0"/>
    <x v="144"/>
    <n v="37.049999999999997"/>
    <n v="17784"/>
    <n v="50388"/>
    <n v="90.698399999999992"/>
  </r>
  <r>
    <x v="0"/>
    <x v="0"/>
    <x v="0"/>
    <s v="CUST_ID_001"/>
    <s v="PROD_ID_001"/>
    <x v="0"/>
    <s v="None"/>
    <d v="2021-02-25T00:00:00"/>
    <x v="4"/>
    <x v="1"/>
    <x v="1"/>
    <n v="3199"/>
    <n v="6"/>
    <n v="188"/>
    <n v="601412"/>
    <n v="0"/>
    <x v="150"/>
    <n v="333.1875"/>
    <n v="19194"/>
    <n v="582218"/>
    <n v="1047.9923999999999"/>
  </r>
  <r>
    <x v="2"/>
    <x v="1"/>
    <x v="0"/>
    <s v="CUST_ID_050"/>
    <s v="PROD_ID_001"/>
    <x v="49"/>
    <s v="None"/>
    <d v="2021-02-13T00:00:00"/>
    <x v="4"/>
    <x v="1"/>
    <x v="1"/>
    <n v="1150"/>
    <n v="6"/>
    <n v="450"/>
    <n v="517500"/>
    <n v="0"/>
    <x v="151"/>
    <n v="287.39999999999998"/>
    <n v="6900"/>
    <n v="510600"/>
    <n v="919.07999999999993"/>
  </r>
  <r>
    <x v="3"/>
    <x v="4"/>
    <x v="0"/>
    <s v="CUST_ID_037"/>
    <s v="PROD_ID_001"/>
    <x v="36"/>
    <s v="None"/>
    <d v="2021-01-25T00:00:00"/>
    <x v="1"/>
    <x v="1"/>
    <x v="1"/>
    <n v="2575"/>
    <n v="6"/>
    <n v="11"/>
    <n v="28325"/>
    <n v="0"/>
    <x v="152"/>
    <n v="15.022"/>
    <n v="15450"/>
    <n v="12875"/>
    <n v="23.175000000000001"/>
  </r>
  <r>
    <x v="1"/>
    <x v="0"/>
    <x v="0"/>
    <s v="CUST_ID_113"/>
    <s v="PROD_ID_001"/>
    <x v="82"/>
    <s v="None"/>
    <d v="2020-03-09T00:00:00"/>
    <x v="8"/>
    <x v="1"/>
    <x v="0"/>
    <n v="738"/>
    <n v="6"/>
    <n v="23"/>
    <n v="16974"/>
    <n v="0"/>
    <x v="153"/>
    <n v="9.2249999999999996"/>
    <n v="4428"/>
    <n v="12546"/>
    <n v="22.582799999999999"/>
  </r>
  <r>
    <x v="3"/>
    <x v="3"/>
    <x v="1"/>
    <s v="CUST_ID_004"/>
    <s v="PROD_ID_002"/>
    <x v="3"/>
    <s v="None"/>
    <d v="2020-04-30T00:00:00"/>
    <x v="5"/>
    <x v="2"/>
    <x v="0"/>
    <n v="350"/>
    <n v="12"/>
    <n v="30"/>
    <n v="10500"/>
    <n v="0"/>
    <x v="154"/>
    <n v="5.84"/>
    <n v="4200"/>
    <n v="6300"/>
    <n v="11.34"/>
  </r>
  <r>
    <x v="1"/>
    <x v="3"/>
    <x v="1"/>
    <s v="CUST_ID_044"/>
    <s v="PROD_ID_002"/>
    <x v="43"/>
    <s v="None"/>
    <d v="2021-04-04T00:00:00"/>
    <x v="5"/>
    <x v="2"/>
    <x v="1"/>
    <n v="1169"/>
    <n v="12"/>
    <n v="23"/>
    <n v="26887"/>
    <n v="0"/>
    <x v="155"/>
    <n v="14.61"/>
    <n v="14028"/>
    <n v="12859"/>
    <n v="23.1462"/>
  </r>
  <r>
    <x v="4"/>
    <x v="3"/>
    <x v="1"/>
    <s v="CUST_ID_060"/>
    <s v="PROD_ID_002"/>
    <x v="41"/>
    <s v="None"/>
    <d v="2021-11-04T00:00:00"/>
    <x v="6"/>
    <x v="3"/>
    <x v="1"/>
    <n v="3022"/>
    <n v="12"/>
    <n v="18"/>
    <n v="54396"/>
    <n v="0"/>
    <x v="147"/>
    <n v="30.216000000000001"/>
    <n v="36264"/>
    <n v="18132"/>
    <n v="32.637599999999999"/>
  </r>
  <r>
    <x v="3"/>
    <x v="7"/>
    <x v="1"/>
    <s v="CUST_ID_072"/>
    <s v="PROD_ID_002"/>
    <x v="69"/>
    <s v="None"/>
    <d v="2021-07-20T00:00:00"/>
    <x v="3"/>
    <x v="0"/>
    <x v="1"/>
    <n v="1207"/>
    <n v="12"/>
    <n v="525"/>
    <n v="633675"/>
    <n v="0"/>
    <x v="156"/>
    <n v="352.1"/>
    <n v="14484"/>
    <n v="619191"/>
    <n v="1114.5437999999999"/>
  </r>
  <r>
    <x v="4"/>
    <x v="5"/>
    <x v="1"/>
    <s v="CUST_ID_014"/>
    <s v="PROD_ID_002"/>
    <x v="13"/>
    <s v="None"/>
    <d v="2020-05-24T00:00:00"/>
    <x v="10"/>
    <x v="2"/>
    <x v="0"/>
    <n v="440"/>
    <n v="12"/>
    <n v="18"/>
    <n v="7920"/>
    <n v="0"/>
    <x v="157"/>
    <n v="4.4039999999999999"/>
    <n v="5280"/>
    <n v="2640"/>
    <n v="4.7519999999999998"/>
  </r>
  <r>
    <x v="3"/>
    <x v="7"/>
    <x v="1"/>
    <s v="CUST_ID_040"/>
    <s v="PROD_ID_002"/>
    <x v="39"/>
    <s v="None"/>
    <d v="2020-08-29T00:00:00"/>
    <x v="2"/>
    <x v="0"/>
    <x v="0"/>
    <n v="1060"/>
    <n v="12"/>
    <n v="11"/>
    <n v="11660"/>
    <n v="0"/>
    <x v="158"/>
    <n v="6.181"/>
    <n v="12720"/>
    <n v="-1060"/>
    <n v="-1.9079999999999999"/>
  </r>
  <r>
    <x v="1"/>
    <x v="3"/>
    <x v="1"/>
    <s v="CUST_ID_044"/>
    <s v="PROD_ID_002"/>
    <x v="43"/>
    <s v="None"/>
    <d v="2020-02-27T00:00:00"/>
    <x v="4"/>
    <x v="1"/>
    <x v="0"/>
    <n v="2966"/>
    <n v="12"/>
    <n v="23"/>
    <n v="68218"/>
    <n v="0"/>
    <x v="159"/>
    <n v="37.08"/>
    <n v="35592"/>
    <n v="32626"/>
    <n v="58.726799999999997"/>
  </r>
  <r>
    <x v="3"/>
    <x v="2"/>
    <x v="1"/>
    <s v="CUST_ID_027"/>
    <s v="PROD_ID_002"/>
    <x v="26"/>
    <s v="None"/>
    <d v="2021-11-10T00:00:00"/>
    <x v="6"/>
    <x v="3"/>
    <x v="1"/>
    <n v="1372"/>
    <n v="12"/>
    <n v="11"/>
    <n v="15092"/>
    <n v="0"/>
    <x v="160"/>
    <n v="8.0009999999999994"/>
    <n v="16464"/>
    <n v="-1372"/>
    <n v="-2.4695999999999998"/>
  </r>
  <r>
    <x v="3"/>
    <x v="3"/>
    <x v="1"/>
    <s v="CUST_ID_004"/>
    <s v="PROD_ID_002"/>
    <x v="3"/>
    <s v="None"/>
    <d v="2021-01-18T00:00:00"/>
    <x v="1"/>
    <x v="1"/>
    <x v="1"/>
    <n v="2180"/>
    <n v="12"/>
    <n v="30"/>
    <n v="65400"/>
    <n v="0"/>
    <x v="161"/>
    <n v="36.340000000000003"/>
    <n v="26160"/>
    <n v="39240"/>
    <n v="70.632000000000005"/>
  </r>
  <r>
    <x v="3"/>
    <x v="7"/>
    <x v="1"/>
    <s v="CUST_ID_072"/>
    <s v="PROD_ID_002"/>
    <x v="69"/>
    <s v="None"/>
    <d v="2021-02-11T00:00:00"/>
    <x v="4"/>
    <x v="1"/>
    <x v="1"/>
    <n v="1816"/>
    <n v="12"/>
    <n v="525"/>
    <n v="953400"/>
    <n v="0"/>
    <x v="145"/>
    <n v="529.54999999999995"/>
    <n v="21792"/>
    <n v="931608"/>
    <n v="1676.8943999999999"/>
  </r>
  <r>
    <x v="3"/>
    <x v="6"/>
    <x v="2"/>
    <s v="CUST_ID_031"/>
    <s v="PROD_ID_003"/>
    <x v="30"/>
    <s v="None"/>
    <d v="2021-03-04T00:00:00"/>
    <x v="8"/>
    <x v="1"/>
    <x v="1"/>
    <n v="1792"/>
    <n v="148"/>
    <n v="11"/>
    <n v="19712"/>
    <n v="0"/>
    <x v="162"/>
    <n v="10.451000000000001"/>
    <n v="265216"/>
    <n v="-245504"/>
    <n v="-441.90719999999999"/>
  </r>
  <r>
    <x v="0"/>
    <x v="4"/>
    <x v="2"/>
    <s v="CUST_ID_053"/>
    <s v="PROD_ID_003"/>
    <x v="52"/>
    <s v="None"/>
    <d v="2021-06-28T00:00:00"/>
    <x v="11"/>
    <x v="2"/>
    <x v="1"/>
    <n v="2165"/>
    <n v="148"/>
    <n v="188"/>
    <n v="407020"/>
    <n v="0"/>
    <x v="163"/>
    <n v="225.5"/>
    <n v="320420"/>
    <n v="86600"/>
    <n v="155.88"/>
  </r>
  <r>
    <x v="4"/>
    <x v="1"/>
    <x v="2"/>
    <s v="CUST_ID_114"/>
    <s v="PROD_ID_003"/>
    <x v="83"/>
    <s v="None"/>
    <d v="2020-08-19T00:00:00"/>
    <x v="2"/>
    <x v="0"/>
    <x v="0"/>
    <n v="2593"/>
    <n v="148"/>
    <n v="18"/>
    <n v="46674"/>
    <n v="0"/>
    <x v="164"/>
    <n v="25.931999999999999"/>
    <n v="383764"/>
    <n v="-337090"/>
    <n v="-606.76199999999994"/>
  </r>
  <r>
    <x v="3"/>
    <x v="3"/>
    <x v="2"/>
    <s v="CUST_ID_028"/>
    <s v="PROD_ID_003"/>
    <x v="27"/>
    <s v="None"/>
    <d v="2021-10-04T00:00:00"/>
    <x v="9"/>
    <x v="3"/>
    <x v="1"/>
    <n v="1207"/>
    <n v="148"/>
    <n v="525"/>
    <n v="633675"/>
    <n v="0"/>
    <x v="156"/>
    <n v="352.1"/>
    <n v="178636"/>
    <n v="455039"/>
    <n v="819.0702"/>
  </r>
  <r>
    <x v="4"/>
    <x v="1"/>
    <x v="2"/>
    <s v="CUST_ID_114"/>
    <s v="PROD_ID_003"/>
    <x v="83"/>
    <s v="None"/>
    <d v="2021-08-04T00:00:00"/>
    <x v="2"/>
    <x v="0"/>
    <x v="1"/>
    <n v="1854"/>
    <n v="148"/>
    <n v="18"/>
    <n v="33372"/>
    <n v="0"/>
    <x v="149"/>
    <n v="18.54"/>
    <n v="274392"/>
    <n v="-241020"/>
    <n v="-433.83600000000001"/>
  </r>
  <r>
    <x v="0"/>
    <x v="6"/>
    <x v="2"/>
    <s v="CUST_ID_015"/>
    <s v="PROD_ID_003"/>
    <x v="14"/>
    <s v="None"/>
    <d v="2021-08-19T00:00:00"/>
    <x v="2"/>
    <x v="0"/>
    <x v="1"/>
    <n v="3385"/>
    <n v="148"/>
    <n v="188"/>
    <n v="636380"/>
    <n v="0"/>
    <x v="165"/>
    <n v="352.625"/>
    <n v="500980"/>
    <n v="135400"/>
    <n v="243.72"/>
  </r>
  <r>
    <x v="2"/>
    <x v="6"/>
    <x v="3"/>
    <s v="CUST_ID_063"/>
    <s v="PROD_ID_004"/>
    <x v="61"/>
    <s v="None"/>
    <d v="2021-03-26T00:00:00"/>
    <x v="8"/>
    <x v="1"/>
    <x v="1"/>
    <n v="2401"/>
    <n v="308"/>
    <n v="450"/>
    <n v="1080450"/>
    <n v="0"/>
    <x v="166"/>
    <n v="600.29999999999995"/>
    <n v="739508"/>
    <n v="340942"/>
    <n v="613.69560000000001"/>
  </r>
  <r>
    <x v="4"/>
    <x v="2"/>
    <x v="3"/>
    <s v="CUST_ID_067"/>
    <s v="PROD_ID_004"/>
    <x v="65"/>
    <s v="None"/>
    <d v="2021-07-03T00:00:00"/>
    <x v="3"/>
    <x v="0"/>
    <x v="1"/>
    <n v="3406"/>
    <n v="308"/>
    <n v="18"/>
    <n v="61308"/>
    <n v="0"/>
    <x v="167"/>
    <n v="34.055999999999997"/>
    <n v="1049048"/>
    <n v="-987740"/>
    <n v="-1777.932"/>
  </r>
  <r>
    <x v="1"/>
    <x v="6"/>
    <x v="3"/>
    <s v="CUST_ID_087"/>
    <s v="PROD_ID_004"/>
    <x v="50"/>
    <s v="None"/>
    <d v="2020-07-24T00:00:00"/>
    <x v="3"/>
    <x v="0"/>
    <x v="0"/>
    <n v="2614"/>
    <n v="308"/>
    <n v="23"/>
    <n v="60122"/>
    <n v="0"/>
    <x v="142"/>
    <n v="32.67"/>
    <n v="805112"/>
    <n v="-744990"/>
    <n v="-1340.982"/>
  </r>
  <r>
    <x v="1"/>
    <x v="6"/>
    <x v="3"/>
    <s v="CUST_ID_039"/>
    <s v="PROD_ID_004"/>
    <x v="38"/>
    <s v="None"/>
    <d v="2020-02-03T00:00:00"/>
    <x v="4"/>
    <x v="1"/>
    <x v="0"/>
    <n v="1066"/>
    <n v="308"/>
    <n v="23"/>
    <n v="24518"/>
    <n v="0"/>
    <x v="143"/>
    <n v="13.32"/>
    <n v="328328"/>
    <n v="-303810"/>
    <n v="-546.85799999999995"/>
  </r>
  <r>
    <x v="2"/>
    <x v="5"/>
    <x v="3"/>
    <s v="CUST_ID_062"/>
    <s v="PROD_ID_004"/>
    <x v="60"/>
    <s v="None"/>
    <d v="2020-05-23T00:00:00"/>
    <x v="10"/>
    <x v="2"/>
    <x v="0"/>
    <n v="2581"/>
    <n v="308"/>
    <n v="450"/>
    <n v="1161450"/>
    <n v="0"/>
    <x v="168"/>
    <n v="645.29999999999995"/>
    <n v="794948"/>
    <n v="366502"/>
    <n v="659.70359999999994"/>
  </r>
  <r>
    <x v="3"/>
    <x v="6"/>
    <x v="3"/>
    <s v="CUST_ID_055"/>
    <s v="PROD_ID_004"/>
    <x v="54"/>
    <s v="None"/>
    <d v="2021-12-15T00:00:00"/>
    <x v="7"/>
    <x v="3"/>
    <x v="1"/>
    <n v="2180"/>
    <n v="308"/>
    <n v="30"/>
    <n v="65400"/>
    <n v="0"/>
    <x v="161"/>
    <n v="36.340000000000003"/>
    <n v="671440"/>
    <n v="-606040"/>
    <n v="-1090.8720000000001"/>
  </r>
  <r>
    <x v="3"/>
    <x v="0"/>
    <x v="5"/>
    <s v="CUST_ID_065"/>
    <s v="PROD_ID_006"/>
    <x v="63"/>
    <s v="None"/>
    <d v="2020-08-23T00:00:00"/>
    <x v="2"/>
    <x v="0"/>
    <x v="0"/>
    <n v="3300"/>
    <n v="320"/>
    <n v="525"/>
    <n v="1732500"/>
    <n v="0"/>
    <x v="169"/>
    <n v="962.5"/>
    <n v="1056000"/>
    <n v="676500"/>
    <n v="1217.7"/>
  </r>
  <r>
    <x v="4"/>
    <x v="1"/>
    <x v="5"/>
    <s v="CUST_ID_018"/>
    <s v="PROD_ID_006"/>
    <x v="17"/>
    <s v="None"/>
    <d v="2020-10-13T00:00:00"/>
    <x v="9"/>
    <x v="3"/>
    <x v="0"/>
    <n v="2344"/>
    <n v="320"/>
    <n v="18"/>
    <n v="42192"/>
    <n v="0"/>
    <x v="170"/>
    <n v="23.436"/>
    <n v="750080"/>
    <n v="-707888"/>
    <n v="-1274.1984"/>
  </r>
  <r>
    <x v="0"/>
    <x v="0"/>
    <x v="5"/>
    <s v="CUST_ID_073"/>
    <s v="PROD_ID_006"/>
    <x v="70"/>
    <s v="None"/>
    <d v="2021-02-20T00:00:00"/>
    <x v="4"/>
    <x v="1"/>
    <x v="1"/>
    <n v="5063"/>
    <n v="320"/>
    <n v="188"/>
    <n v="951844"/>
    <n v="0"/>
    <x v="171"/>
    <n v="527.4375"/>
    <n v="1620160"/>
    <n v="-668316"/>
    <n v="-1202.9687999999999"/>
  </r>
  <r>
    <x v="3"/>
    <x v="0"/>
    <x v="5"/>
    <s v="CUST_ID_065"/>
    <s v="PROD_ID_006"/>
    <x v="63"/>
    <s v="None"/>
    <d v="2021-07-03T00:00:00"/>
    <x v="3"/>
    <x v="0"/>
    <x v="1"/>
    <n v="2279"/>
    <n v="320"/>
    <n v="30"/>
    <n v="68370"/>
    <n v="0"/>
    <x v="148"/>
    <n v="37.979999999999997"/>
    <n v="729280"/>
    <n v="-660910"/>
    <n v="-1189.6379999999999"/>
  </r>
  <r>
    <x v="3"/>
    <x v="2"/>
    <x v="5"/>
    <s v="CUST_ID_035"/>
    <s v="PROD_ID_006"/>
    <x v="34"/>
    <s v="None"/>
    <d v="2021-09-14T00:00:00"/>
    <x v="0"/>
    <x v="0"/>
    <x v="1"/>
    <n v="2023"/>
    <n v="320"/>
    <n v="11"/>
    <n v="22253"/>
    <n v="0"/>
    <x v="172"/>
    <n v="11.802"/>
    <n v="647360"/>
    <n v="-625107"/>
    <n v="-1125.1925999999999"/>
  </r>
  <r>
    <x v="4"/>
    <x v="1"/>
    <x v="5"/>
    <s v="CUST_ID_018"/>
    <s v="PROD_ID_006"/>
    <x v="17"/>
    <s v="None"/>
    <d v="2020-11-15T00:00:00"/>
    <x v="6"/>
    <x v="3"/>
    <x v="0"/>
    <n v="2569"/>
    <n v="320"/>
    <n v="18"/>
    <n v="46242"/>
    <n v="0"/>
    <x v="173"/>
    <n v="25.692"/>
    <n v="822080"/>
    <n v="-775838"/>
    <n v="-1396.5083999999999"/>
  </r>
  <r>
    <x v="3"/>
    <x v="7"/>
    <x v="5"/>
    <s v="CUST_ID_064"/>
    <s v="PROD_ID_006"/>
    <x v="62"/>
    <s v="None"/>
    <d v="2021-04-23T00:00:00"/>
    <x v="5"/>
    <x v="2"/>
    <x v="1"/>
    <n v="1372"/>
    <n v="320"/>
    <n v="11"/>
    <n v="15092"/>
    <n v="0"/>
    <x v="160"/>
    <n v="8.0009999999999994"/>
    <n v="439040"/>
    <n v="-423948"/>
    <n v="-763.10640000000001"/>
  </r>
  <r>
    <x v="1"/>
    <x v="5"/>
    <x v="5"/>
    <s v="CUST_ID_046"/>
    <s v="PROD_ID_006"/>
    <x v="45"/>
    <s v="None"/>
    <d v="2020-12-26T00:00:00"/>
    <x v="7"/>
    <x v="3"/>
    <x v="0"/>
    <n v="738"/>
    <n v="320"/>
    <n v="23"/>
    <n v="16974"/>
    <n v="0"/>
    <x v="153"/>
    <n v="9.2249999999999996"/>
    <n v="236160"/>
    <n v="-219186"/>
    <n v="-394.53479999999996"/>
  </r>
  <r>
    <x v="3"/>
    <x v="3"/>
    <x v="1"/>
    <s v="CUST_ID_052"/>
    <s v="PROD_ID_002"/>
    <x v="51"/>
    <s v="Low"/>
    <d v="2020-09-23T00:00:00"/>
    <x v="0"/>
    <x v="0"/>
    <x v="0"/>
    <n v="4734"/>
    <n v="12"/>
    <n v="11"/>
    <n v="52074"/>
    <n v="520.7399999999999"/>
    <x v="174"/>
    <n v="27.338850000000001"/>
    <n v="56808"/>
    <n v="-5254.739999999998"/>
    <n v="-9.4585319999999964"/>
  </r>
  <r>
    <x v="1"/>
    <x v="1"/>
    <x v="1"/>
    <s v="CUST_ID_002"/>
    <s v="PROD_ID_002"/>
    <x v="1"/>
    <s v="Low"/>
    <d v="2020-12-16T00:00:00"/>
    <x v="7"/>
    <x v="3"/>
    <x v="0"/>
    <n v="2755"/>
    <n v="12"/>
    <n v="23"/>
    <n v="63365"/>
    <n v="633.64999999999986"/>
    <x v="175"/>
    <n v="34.095599999999997"/>
    <n v="33060"/>
    <n v="29671.35"/>
    <n v="53.408429999999996"/>
  </r>
  <r>
    <x v="3"/>
    <x v="3"/>
    <x v="1"/>
    <s v="CUST_ID_052"/>
    <s v="PROD_ID_002"/>
    <x v="51"/>
    <s v="Low"/>
    <d v="2021-08-12T00:00:00"/>
    <x v="2"/>
    <x v="0"/>
    <x v="1"/>
    <n v="1236"/>
    <n v="12"/>
    <n v="11"/>
    <n v="13596"/>
    <n v="135.95999999999998"/>
    <x v="176"/>
    <n v="7.1378999999999992"/>
    <n v="14832"/>
    <n v="-1371.9599999999991"/>
    <n v="-2.4695279999999982"/>
  </r>
  <r>
    <x v="3"/>
    <x v="5"/>
    <x v="2"/>
    <s v="CUST_ID_054"/>
    <s v="PROD_ID_003"/>
    <x v="53"/>
    <s v="Low"/>
    <d v="2020-10-31T00:00:00"/>
    <x v="9"/>
    <x v="3"/>
    <x v="0"/>
    <n v="767"/>
    <n v="148"/>
    <n v="11"/>
    <n v="8437"/>
    <n v="84.36999999999999"/>
    <x v="177"/>
    <n v="4.4282700000000004"/>
    <n v="113516"/>
    <n v="-105163.37"/>
    <n v="-189.29406599999999"/>
  </r>
  <r>
    <x v="3"/>
    <x v="6"/>
    <x v="3"/>
    <s v="CUST_ID_055"/>
    <s v="PROD_ID_004"/>
    <x v="54"/>
    <s v="Low"/>
    <d v="2021-03-19T00:00:00"/>
    <x v="8"/>
    <x v="1"/>
    <x v="1"/>
    <n v="1591"/>
    <n v="308"/>
    <n v="11"/>
    <n v="17501"/>
    <n v="175.00999999999996"/>
    <x v="178"/>
    <n v="9.1891800000000003"/>
    <n v="490028"/>
    <n v="-472702.01"/>
    <n v="-850.86361799999997"/>
  </r>
  <r>
    <x v="4"/>
    <x v="3"/>
    <x v="4"/>
    <s v="CUST_ID_084"/>
    <s v="PROD_ID_005"/>
    <x v="79"/>
    <s v="Low"/>
    <d v="2021-09-07T00:00:00"/>
    <x v="0"/>
    <x v="0"/>
    <x v="1"/>
    <n v="2230"/>
    <n v="4"/>
    <n v="18"/>
    <n v="40140"/>
    <n v="401.40000000000003"/>
    <x v="179"/>
    <n v="22.073040000000002"/>
    <n v="8920"/>
    <n v="30818.6"/>
    <n v="55.473479999999995"/>
  </r>
  <r>
    <x v="3"/>
    <x v="1"/>
    <x v="4"/>
    <s v="CUST_ID_066"/>
    <s v="PROD_ID_005"/>
    <x v="64"/>
    <s v="Low"/>
    <d v="2020-06-27T00:00:00"/>
    <x v="11"/>
    <x v="2"/>
    <x v="0"/>
    <n v="1452"/>
    <n v="4"/>
    <n v="525"/>
    <n v="762300"/>
    <n v="7623"/>
    <x v="180"/>
    <n v="419.26499999999999"/>
    <n v="5808"/>
    <n v="748869"/>
    <n v="1347.9641999999999"/>
  </r>
  <r>
    <x v="3"/>
    <x v="0"/>
    <x v="4"/>
    <s v="CUST_ID_057"/>
    <s v="PROD_ID_005"/>
    <x v="56"/>
    <s v="Low"/>
    <d v="2020-08-20T00:00:00"/>
    <x v="2"/>
    <x v="0"/>
    <x v="0"/>
    <n v="3035"/>
    <n v="4"/>
    <n v="11"/>
    <n v="33385"/>
    <n v="333.85"/>
    <x v="181"/>
    <n v="17.525970000000001"/>
    <n v="12140"/>
    <n v="20911.150000000001"/>
    <n v="37.640070000000001"/>
  </r>
  <r>
    <x v="4"/>
    <x v="3"/>
    <x v="4"/>
    <s v="CUST_ID_036"/>
    <s v="PROD_ID_005"/>
    <x v="35"/>
    <s v="Low"/>
    <d v="2020-08-10T00:00:00"/>
    <x v="2"/>
    <x v="0"/>
    <x v="0"/>
    <n v="1734"/>
    <n v="4"/>
    <n v="18"/>
    <n v="31212"/>
    <n v="312.12"/>
    <x v="182"/>
    <n v="17.166599999999999"/>
    <n v="6936"/>
    <n v="23963.88"/>
    <n v="43.134984000000003"/>
  </r>
  <r>
    <x v="4"/>
    <x v="7"/>
    <x v="4"/>
    <s v="CUST_ID_088"/>
    <s v="PROD_ID_005"/>
    <x v="81"/>
    <s v="Low"/>
    <d v="2021-12-10T00:00:00"/>
    <x v="7"/>
    <x v="3"/>
    <x v="1"/>
    <n v="3205"/>
    <n v="4"/>
    <n v="18"/>
    <n v="57690"/>
    <n v="576.9"/>
    <x v="183"/>
    <n v="31.731480000000001"/>
    <n v="12820"/>
    <n v="44293.1"/>
    <n v="79.727579999999989"/>
  </r>
  <r>
    <x v="3"/>
    <x v="1"/>
    <x v="4"/>
    <s v="CUST_ID_066"/>
    <s v="PROD_ID_005"/>
    <x v="64"/>
    <s v="Low"/>
    <d v="2020-08-03T00:00:00"/>
    <x v="2"/>
    <x v="0"/>
    <x v="0"/>
    <n v="1676"/>
    <n v="4"/>
    <n v="525"/>
    <n v="879900"/>
    <n v="8799"/>
    <x v="184"/>
    <n v="484.06049999999999"/>
    <n v="6704"/>
    <n v="864397"/>
    <n v="1555.9146000000001"/>
  </r>
  <r>
    <x v="3"/>
    <x v="4"/>
    <x v="4"/>
    <s v="CUST_ID_021"/>
    <s v="PROD_ID_005"/>
    <x v="20"/>
    <s v="Low"/>
    <d v="2020-04-06T00:00:00"/>
    <x v="5"/>
    <x v="2"/>
    <x v="0"/>
    <n v="2586"/>
    <n v="4"/>
    <n v="525"/>
    <n v="1357650"/>
    <n v="13576.5"/>
    <x v="185"/>
    <n v="746.70749999999998"/>
    <n v="10344"/>
    <n v="1333729.5"/>
    <n v="2400.7130999999999"/>
  </r>
  <r>
    <x v="1"/>
    <x v="7"/>
    <x v="0"/>
    <s v="CUST_ID_112"/>
    <s v="PROD_ID_001"/>
    <x v="81"/>
    <s v="Low"/>
    <d v="2020-01-15T00:00:00"/>
    <x v="1"/>
    <x v="1"/>
    <x v="0"/>
    <n v="2657"/>
    <n v="6"/>
    <n v="23"/>
    <n v="61111"/>
    <n v="611.11"/>
    <x v="186"/>
    <n v="32.877900000000004"/>
    <n v="15942"/>
    <n v="44557.89"/>
    <n v="80.204201999999995"/>
  </r>
  <r>
    <x v="2"/>
    <x v="3"/>
    <x v="0"/>
    <s v="CUST_ID_012"/>
    <s v="PROD_ID_001"/>
    <x v="11"/>
    <s v="Low"/>
    <d v="2020-11-28T00:00:00"/>
    <x v="6"/>
    <x v="3"/>
    <x v="0"/>
    <n v="2761"/>
    <n v="6"/>
    <n v="450"/>
    <n v="1242450"/>
    <n v="12424.5"/>
    <x v="187"/>
    <n v="683.39700000000005"/>
    <n v="16566"/>
    <n v="1213459.5"/>
    <n v="2184.2271000000001"/>
  </r>
  <r>
    <x v="3"/>
    <x v="2"/>
    <x v="0"/>
    <s v="CUST_ID_059"/>
    <s v="PROD_ID_001"/>
    <x v="58"/>
    <s v="Low"/>
    <d v="2021-11-21T00:00:00"/>
    <x v="6"/>
    <x v="3"/>
    <x v="1"/>
    <n v="1651"/>
    <n v="6"/>
    <n v="30"/>
    <n v="49530"/>
    <n v="495.3"/>
    <x v="188"/>
    <n v="27.234899999999996"/>
    <n v="9906"/>
    <n v="39128.699999999997"/>
    <n v="70.431659999999994"/>
  </r>
  <r>
    <x v="3"/>
    <x v="2"/>
    <x v="0"/>
    <s v="CUST_ID_043"/>
    <s v="PROD_ID_001"/>
    <x v="42"/>
    <s v="Low"/>
    <d v="2020-08-07T00:00:00"/>
    <x v="2"/>
    <x v="0"/>
    <x v="0"/>
    <n v="2196"/>
    <n v="6"/>
    <n v="11"/>
    <n v="24156"/>
    <n v="241.56"/>
    <x v="189"/>
    <n v="12.681899999999999"/>
    <n v="13176"/>
    <n v="10738.439999999999"/>
    <n v="19.329191999999995"/>
  </r>
  <r>
    <x v="1"/>
    <x v="1"/>
    <x v="1"/>
    <s v="CUST_ID_026"/>
    <s v="PROD_ID_002"/>
    <x v="25"/>
    <s v="Low"/>
    <d v="2021-09-07T00:00:00"/>
    <x v="0"/>
    <x v="0"/>
    <x v="1"/>
    <n v="1817"/>
    <n v="12"/>
    <n v="23"/>
    <n v="41791"/>
    <n v="417.91"/>
    <x v="190"/>
    <n v="22.482900000000001"/>
    <n v="21804"/>
    <n v="19569.089999999997"/>
    <n v="35.224361999999992"/>
  </r>
  <r>
    <x v="3"/>
    <x v="2"/>
    <x v="1"/>
    <s v="CUST_ID_027"/>
    <s v="PROD_ID_002"/>
    <x v="26"/>
    <s v="Low"/>
    <d v="2020-02-17T00:00:00"/>
    <x v="4"/>
    <x v="1"/>
    <x v="0"/>
    <n v="5391"/>
    <n v="12"/>
    <n v="11"/>
    <n v="59301"/>
    <n v="593.01"/>
    <x v="191"/>
    <n v="31.133024999999996"/>
    <n v="64692"/>
    <n v="-5984.010000000002"/>
    <n v="-10.771218000000003"/>
  </r>
  <r>
    <x v="0"/>
    <x v="2"/>
    <x v="1"/>
    <s v="CUST_ID_115"/>
    <s v="PROD_ID_002"/>
    <x v="84"/>
    <s v="Low"/>
    <d v="2021-03-05T00:00:00"/>
    <x v="8"/>
    <x v="1"/>
    <x v="1"/>
    <n v="872"/>
    <n v="12"/>
    <n v="188"/>
    <n v="163936"/>
    <n v="1639.3600000000001"/>
    <x v="192"/>
    <n v="89.966250000000002"/>
    <n v="10464"/>
    <n v="151832.64000000001"/>
    <n v="273.29875200000004"/>
  </r>
  <r>
    <x v="0"/>
    <x v="2"/>
    <x v="1"/>
    <s v="CUST_ID_051"/>
    <s v="PROD_ID_002"/>
    <x v="50"/>
    <s v="Low"/>
    <d v="2020-06-24T00:00:00"/>
    <x v="11"/>
    <x v="2"/>
    <x v="0"/>
    <n v="944"/>
    <n v="12"/>
    <n v="188"/>
    <n v="177472"/>
    <n v="1774.72"/>
    <x v="193"/>
    <n v="97.391249999999999"/>
    <n v="11328"/>
    <n v="164369.28"/>
    <n v="295.86470400000002"/>
  </r>
  <r>
    <x v="0"/>
    <x v="7"/>
    <x v="1"/>
    <s v="CUST_ID_024"/>
    <s v="PROD_ID_002"/>
    <x v="23"/>
    <s v="Low"/>
    <d v="2021-11-30T00:00:00"/>
    <x v="6"/>
    <x v="3"/>
    <x v="1"/>
    <n v="2188"/>
    <n v="12"/>
    <n v="188"/>
    <n v="411344"/>
    <n v="4113.4400000000005"/>
    <x v="194"/>
    <n v="225.59625"/>
    <n v="26256"/>
    <n v="380974.56"/>
    <n v="685.75420799999995"/>
  </r>
  <r>
    <x v="1"/>
    <x v="5"/>
    <x v="1"/>
    <s v="CUST_ID_038"/>
    <s v="PROD_ID_002"/>
    <x v="37"/>
    <s v="Low"/>
    <d v="2020-06-08T00:00:00"/>
    <x v="11"/>
    <x v="2"/>
    <x v="0"/>
    <n v="896"/>
    <n v="12"/>
    <n v="23"/>
    <n v="20608"/>
    <n v="206.08"/>
    <x v="195"/>
    <n v="11.09295"/>
    <n v="10752"/>
    <n v="9649.9199999999983"/>
    <n v="17.369855999999995"/>
  </r>
  <r>
    <x v="2"/>
    <x v="3"/>
    <x v="1"/>
    <s v="CUST_ID_116"/>
    <s v="PROD_ID_002"/>
    <x v="85"/>
    <s v="Low"/>
    <d v="2021-01-17T00:00:00"/>
    <x v="1"/>
    <x v="1"/>
    <x v="1"/>
    <n v="3486"/>
    <n v="12"/>
    <n v="450"/>
    <n v="1568700"/>
    <n v="15687"/>
    <x v="196"/>
    <n v="862.78499999999997"/>
    <n v="41832"/>
    <n v="1511181"/>
    <n v="2720.1257999999998"/>
  </r>
  <r>
    <x v="3"/>
    <x v="3"/>
    <x v="1"/>
    <s v="CUST_ID_052"/>
    <s v="PROD_ID_002"/>
    <x v="51"/>
    <s v="Low"/>
    <d v="2021-08-04T00:00:00"/>
    <x v="2"/>
    <x v="0"/>
    <x v="1"/>
    <n v="2586"/>
    <n v="12"/>
    <n v="525"/>
    <n v="1357650"/>
    <n v="13576.5"/>
    <x v="185"/>
    <n v="746.70749999999998"/>
    <n v="31032"/>
    <n v="1313041.5"/>
    <n v="2363.4746999999998"/>
  </r>
  <r>
    <x v="3"/>
    <x v="5"/>
    <x v="2"/>
    <s v="CUST_ID_054"/>
    <s v="PROD_ID_003"/>
    <x v="53"/>
    <s v="Low"/>
    <d v="2020-10-13T00:00:00"/>
    <x v="9"/>
    <x v="3"/>
    <x v="0"/>
    <n v="4637"/>
    <n v="148"/>
    <n v="30"/>
    <n v="139110"/>
    <n v="1391.1000000000001"/>
    <x v="197"/>
    <n v="76.507200000000012"/>
    <n v="686276"/>
    <n v="-548557.1"/>
    <n v="-987.40277999999989"/>
  </r>
  <r>
    <x v="3"/>
    <x v="6"/>
    <x v="2"/>
    <s v="CUST_ID_031"/>
    <s v="PROD_ID_003"/>
    <x v="30"/>
    <s v="Low"/>
    <d v="2021-11-01T00:00:00"/>
    <x v="6"/>
    <x v="3"/>
    <x v="1"/>
    <n v="434"/>
    <n v="148"/>
    <n v="11"/>
    <n v="4774"/>
    <n v="47.74"/>
    <x v="198"/>
    <n v="2.5086599999999999"/>
    <n v="64232"/>
    <n v="-59505.74"/>
    <n v="-107.110332"/>
  </r>
  <r>
    <x v="0"/>
    <x v="6"/>
    <x v="2"/>
    <s v="CUST_ID_007"/>
    <s v="PROD_ID_003"/>
    <x v="6"/>
    <s v="Low"/>
    <d v="2021-04-04T00:00:00"/>
    <x v="5"/>
    <x v="2"/>
    <x v="1"/>
    <n v="1108"/>
    <n v="148"/>
    <n v="188"/>
    <n v="208304"/>
    <n v="2083.04"/>
    <x v="199"/>
    <n v="114.22125"/>
    <n v="163984"/>
    <n v="42236.959999999992"/>
    <n v="76.026527999999985"/>
  </r>
  <r>
    <x v="3"/>
    <x v="7"/>
    <x v="3"/>
    <s v="CUST_ID_056"/>
    <s v="PROD_ID_004"/>
    <x v="55"/>
    <s v="Low"/>
    <d v="2021-12-22T00:00:00"/>
    <x v="7"/>
    <x v="3"/>
    <x v="1"/>
    <n v="316"/>
    <n v="308"/>
    <n v="11"/>
    <n v="3476"/>
    <n v="34.76"/>
    <x v="200"/>
    <n v="1.8225899999999999"/>
    <n v="97328"/>
    <n v="-93886.76"/>
    <n v="-168.99616799999998"/>
  </r>
  <r>
    <x v="3"/>
    <x v="6"/>
    <x v="3"/>
    <s v="CUST_ID_055"/>
    <s v="PROD_ID_004"/>
    <x v="54"/>
    <s v="Low"/>
    <d v="2020-09-21T00:00:00"/>
    <x v="0"/>
    <x v="0"/>
    <x v="0"/>
    <n v="1132"/>
    <n v="308"/>
    <n v="525"/>
    <n v="594300"/>
    <n v="5943"/>
    <x v="201"/>
    <n v="326.92275000000001"/>
    <n v="348656"/>
    <n v="239701"/>
    <n v="431.46179999999998"/>
  </r>
  <r>
    <x v="0"/>
    <x v="4"/>
    <x v="3"/>
    <s v="CUST_ID_117"/>
    <s v="PROD_ID_004"/>
    <x v="56"/>
    <s v="Low"/>
    <d v="2020-04-30T00:00:00"/>
    <x v="5"/>
    <x v="2"/>
    <x v="0"/>
    <n v="872"/>
    <n v="308"/>
    <n v="188"/>
    <n v="163936"/>
    <n v="1639.3600000000001"/>
    <x v="192"/>
    <n v="89.966250000000002"/>
    <n v="268576"/>
    <n v="-106279.35999999999"/>
    <n v="-191.30284799999998"/>
  </r>
  <r>
    <x v="0"/>
    <x v="5"/>
    <x v="3"/>
    <s v="CUST_ID_118"/>
    <s v="PROD_ID_004"/>
    <x v="86"/>
    <s v="Low"/>
    <d v="2020-05-27T00:00:00"/>
    <x v="10"/>
    <x v="2"/>
    <x v="0"/>
    <n v="944"/>
    <n v="308"/>
    <n v="188"/>
    <n v="177472"/>
    <n v="1774.72"/>
    <x v="193"/>
    <n v="97.391249999999999"/>
    <n v="290752"/>
    <n v="-115054.72"/>
    <n v="-207.09849599999998"/>
  </r>
  <r>
    <x v="2"/>
    <x v="7"/>
    <x v="3"/>
    <s v="CUST_ID_032"/>
    <s v="PROD_ID_004"/>
    <x v="31"/>
    <s v="Low"/>
    <d v="2021-10-09T00:00:00"/>
    <x v="9"/>
    <x v="3"/>
    <x v="1"/>
    <n v="1183"/>
    <n v="308"/>
    <n v="450"/>
    <n v="532350"/>
    <n v="5323.5"/>
    <x v="202"/>
    <n v="292.84199999999998"/>
    <n v="364364"/>
    <n v="162662.5"/>
    <n v="292.79250000000002"/>
  </r>
  <r>
    <x v="3"/>
    <x v="1"/>
    <x v="3"/>
    <s v="CUST_ID_034"/>
    <s v="PROD_ID_004"/>
    <x v="33"/>
    <s v="Low"/>
    <d v="2021-10-09T00:00:00"/>
    <x v="9"/>
    <x v="3"/>
    <x v="1"/>
    <n v="1676"/>
    <n v="308"/>
    <n v="525"/>
    <n v="879900"/>
    <n v="8799"/>
    <x v="184"/>
    <n v="484.06049999999999"/>
    <n v="516208"/>
    <n v="354893"/>
    <n v="638.80740000000003"/>
  </r>
  <r>
    <x v="0"/>
    <x v="5"/>
    <x v="3"/>
    <s v="CUST_ID_118"/>
    <s v="PROD_ID_004"/>
    <x v="86"/>
    <s v="Low"/>
    <d v="2020-09-21T00:00:00"/>
    <x v="0"/>
    <x v="0"/>
    <x v="0"/>
    <n v="2093"/>
    <n v="308"/>
    <n v="188"/>
    <n v="393484"/>
    <n v="3934.84"/>
    <x v="203"/>
    <n v="215.82"/>
    <n v="644644"/>
    <n v="-255094.84000000003"/>
    <n v="-459.17071200000004"/>
  </r>
  <r>
    <x v="0"/>
    <x v="5"/>
    <x v="4"/>
    <s v="CUST_ID_094"/>
    <s v="PROD_ID_005"/>
    <x v="86"/>
    <s v="Low"/>
    <d v="2021-05-27T00:00:00"/>
    <x v="10"/>
    <x v="2"/>
    <x v="1"/>
    <n v="891"/>
    <n v="4"/>
    <n v="188"/>
    <n v="167508"/>
    <n v="3350.16"/>
    <x v="204"/>
    <n v="90.956249999999997"/>
    <n v="3564"/>
    <n v="160593.84"/>
    <n v="289.06891200000001"/>
  </r>
  <r>
    <x v="4"/>
    <x v="3"/>
    <x v="4"/>
    <s v="CUST_ID_036"/>
    <s v="PROD_ID_005"/>
    <x v="35"/>
    <s v="Low"/>
    <d v="2020-05-03T00:00:00"/>
    <x v="10"/>
    <x v="2"/>
    <x v="0"/>
    <n v="1554"/>
    <n v="4"/>
    <n v="18"/>
    <n v="27972"/>
    <n v="559.44000000000005"/>
    <x v="205"/>
    <n v="15.229200000000001"/>
    <n v="6216"/>
    <n v="21196.560000000001"/>
    <n v="38.153807999999998"/>
  </r>
  <r>
    <x v="3"/>
    <x v="1"/>
    <x v="4"/>
    <s v="CUST_ID_042"/>
    <s v="PROD_ID_005"/>
    <x v="41"/>
    <s v="Low"/>
    <d v="2020-07-20T00:00:00"/>
    <x v="3"/>
    <x v="0"/>
    <x v="0"/>
    <n v="3422"/>
    <n v="4"/>
    <n v="525"/>
    <n v="1796550"/>
    <n v="35931"/>
    <x v="206"/>
    <n v="978.23599999999999"/>
    <n v="13688"/>
    <n v="1746931"/>
    <n v="3144.4757999999997"/>
  </r>
  <r>
    <x v="4"/>
    <x v="6"/>
    <x v="0"/>
    <s v="CUST_ID_119"/>
    <s v="PROD_ID_001"/>
    <x v="87"/>
    <s v="Low"/>
    <d v="2021-11-10T00:00:00"/>
    <x v="6"/>
    <x v="3"/>
    <x v="1"/>
    <n v="1370"/>
    <n v="6"/>
    <n v="18"/>
    <n v="24660"/>
    <n v="493.2"/>
    <x v="207"/>
    <n v="13.429919999999999"/>
    <n v="8220"/>
    <n v="15946.8"/>
    <n v="28.704239999999999"/>
  </r>
  <r>
    <x v="3"/>
    <x v="2"/>
    <x v="0"/>
    <s v="CUST_ID_099"/>
    <s v="PROD_ID_001"/>
    <x v="72"/>
    <s v="Low"/>
    <d v="2020-07-17T00:00:00"/>
    <x v="3"/>
    <x v="0"/>
    <x v="0"/>
    <n v="1879"/>
    <n v="6"/>
    <n v="30"/>
    <n v="56370"/>
    <n v="1127.4000000000001"/>
    <x v="208"/>
    <n v="30.6936"/>
    <n v="11274"/>
    <n v="43968.6"/>
    <n v="79.143479999999997"/>
  </r>
  <r>
    <x v="4"/>
    <x v="7"/>
    <x v="0"/>
    <s v="CUST_ID_120"/>
    <s v="PROD_ID_001"/>
    <x v="69"/>
    <s v="Low"/>
    <d v="2021-07-26T00:00:00"/>
    <x v="3"/>
    <x v="0"/>
    <x v="1"/>
    <n v="828"/>
    <n v="6"/>
    <n v="18"/>
    <n v="14904"/>
    <n v="298.08"/>
    <x v="209"/>
    <n v="8.1143999999999998"/>
    <n v="4968"/>
    <n v="9637.92"/>
    <n v="17.348255999999999"/>
  </r>
  <r>
    <x v="1"/>
    <x v="5"/>
    <x v="1"/>
    <s v="CUST_ID_006"/>
    <s v="PROD_ID_002"/>
    <x v="5"/>
    <s v="Low"/>
    <d v="2021-10-24T00:00:00"/>
    <x v="9"/>
    <x v="3"/>
    <x v="1"/>
    <n v="2836"/>
    <n v="12"/>
    <n v="23"/>
    <n v="65228"/>
    <n v="1304.56"/>
    <x v="210"/>
    <n v="34.7361"/>
    <n v="34032"/>
    <n v="29891.440000000002"/>
    <n v="53.804592"/>
  </r>
  <r>
    <x v="2"/>
    <x v="0"/>
    <x v="1"/>
    <s v="CUST_ID_121"/>
    <s v="PROD_ID_002"/>
    <x v="70"/>
    <s v="Low"/>
    <d v="2020-06-02T00:00:00"/>
    <x v="11"/>
    <x v="2"/>
    <x v="0"/>
    <n v="1102"/>
    <n v="12"/>
    <n v="450"/>
    <n v="495900"/>
    <n v="9918"/>
    <x v="211"/>
    <n v="269.892"/>
    <n v="13224"/>
    <n v="472758"/>
    <n v="850.96439999999996"/>
  </r>
  <r>
    <x v="2"/>
    <x v="4"/>
    <x v="1"/>
    <s v="CUST_ID_069"/>
    <s v="PROD_ID_002"/>
    <x v="56"/>
    <s v="Low"/>
    <d v="2020-07-29T00:00:00"/>
    <x v="3"/>
    <x v="0"/>
    <x v="0"/>
    <n v="2074"/>
    <n v="12"/>
    <n v="450"/>
    <n v="933300"/>
    <n v="18666"/>
    <x v="212"/>
    <n v="508.03199999999998"/>
    <n v="24888"/>
    <n v="889746"/>
    <n v="1601.5427999999999"/>
  </r>
  <r>
    <x v="4"/>
    <x v="4"/>
    <x v="1"/>
    <s v="CUST_ID_005"/>
    <s v="PROD_ID_002"/>
    <x v="4"/>
    <s v="Low"/>
    <d v="2020-05-20T00:00:00"/>
    <x v="10"/>
    <x v="2"/>
    <x v="0"/>
    <n v="1370"/>
    <n v="12"/>
    <n v="18"/>
    <n v="24660"/>
    <n v="493.2"/>
    <x v="207"/>
    <n v="13.429919999999999"/>
    <n v="16440"/>
    <n v="7726.7999999999993"/>
    <n v="13.908239999999997"/>
  </r>
  <r>
    <x v="0"/>
    <x v="7"/>
    <x v="1"/>
    <s v="CUST_ID_024"/>
    <s v="PROD_ID_002"/>
    <x v="23"/>
    <s v="Low"/>
    <d v="2020-05-01T00:00:00"/>
    <x v="10"/>
    <x v="2"/>
    <x v="0"/>
    <n v="794"/>
    <n v="12"/>
    <n v="188"/>
    <n v="149272"/>
    <n v="2985.44"/>
    <x v="213"/>
    <n v="81.094999999999999"/>
    <n v="9528"/>
    <n v="136758.56"/>
    <n v="246.16540799999999"/>
  </r>
  <r>
    <x v="4"/>
    <x v="3"/>
    <x v="1"/>
    <s v="CUST_ID_060"/>
    <s v="PROD_ID_002"/>
    <x v="41"/>
    <s v="Low"/>
    <d v="2020-02-23T00:00:00"/>
    <x v="4"/>
    <x v="1"/>
    <x v="0"/>
    <n v="1554"/>
    <n v="12"/>
    <n v="18"/>
    <n v="27972"/>
    <n v="559.44000000000005"/>
    <x v="205"/>
    <n v="15.229200000000001"/>
    <n v="18648"/>
    <n v="8764.5600000000013"/>
    <n v="15.776208000000002"/>
  </r>
  <r>
    <x v="2"/>
    <x v="5"/>
    <x v="1"/>
    <s v="CUST_ID_070"/>
    <s v="PROD_ID_002"/>
    <x v="67"/>
    <s v="Low"/>
    <d v="2020-12-16T00:00:00"/>
    <x v="7"/>
    <x v="3"/>
    <x v="0"/>
    <n v="2299"/>
    <n v="12"/>
    <n v="450"/>
    <n v="1034550"/>
    <n v="20691"/>
    <x v="214"/>
    <n v="563.30399999999997"/>
    <n v="27588"/>
    <n v="986271"/>
    <n v="1775.2878000000001"/>
  </r>
  <r>
    <x v="3"/>
    <x v="3"/>
    <x v="1"/>
    <s v="CUST_ID_004"/>
    <s v="PROD_ID_002"/>
    <x v="3"/>
    <s v="Low"/>
    <d v="2020-04-19T00:00:00"/>
    <x v="5"/>
    <x v="2"/>
    <x v="0"/>
    <n v="3422"/>
    <n v="12"/>
    <n v="525"/>
    <n v="1796550"/>
    <n v="35931"/>
    <x v="206"/>
    <n v="978.23599999999999"/>
    <n v="41064"/>
    <n v="1719555"/>
    <n v="3095.1990000000001"/>
  </r>
  <r>
    <x v="0"/>
    <x v="1"/>
    <x v="1"/>
    <s v="CUST_ID_122"/>
    <s v="PROD_ID_002"/>
    <x v="71"/>
    <s v="Low"/>
    <d v="2020-12-04T00:00:00"/>
    <x v="7"/>
    <x v="3"/>
    <x v="0"/>
    <n v="3275"/>
    <n v="12"/>
    <n v="188"/>
    <n v="615700"/>
    <n v="12314"/>
    <x v="215"/>
    <n v="334.30250000000001"/>
    <n v="39300"/>
    <n v="564086"/>
    <n v="1015.3548"/>
  </r>
  <r>
    <x v="4"/>
    <x v="0"/>
    <x v="1"/>
    <s v="CUST_ID_025"/>
    <s v="PROD_ID_002"/>
    <x v="24"/>
    <s v="Low"/>
    <d v="2020-02-06T00:00:00"/>
    <x v="4"/>
    <x v="1"/>
    <x v="0"/>
    <n v="1266"/>
    <n v="12"/>
    <n v="18"/>
    <n v="22788"/>
    <n v="455.76"/>
    <x v="216"/>
    <n v="12.406799999999999"/>
    <n v="15192"/>
    <n v="7140.2400000000016"/>
    <n v="12.852432000000002"/>
  </r>
  <r>
    <x v="4"/>
    <x v="6"/>
    <x v="1"/>
    <s v="CUST_ID_071"/>
    <s v="PROD_ID_002"/>
    <x v="68"/>
    <s v="Low"/>
    <d v="2021-04-19T00:00:00"/>
    <x v="5"/>
    <x v="2"/>
    <x v="1"/>
    <n v="1301"/>
    <n v="12"/>
    <n v="18"/>
    <n v="23418"/>
    <n v="468.36"/>
    <x v="217"/>
    <n v="12.74784"/>
    <n v="15612"/>
    <n v="7337.6399999999994"/>
    <n v="13.207751999999999"/>
  </r>
  <r>
    <x v="3"/>
    <x v="0"/>
    <x v="2"/>
    <s v="CUST_ID_041"/>
    <s v="PROD_ID_003"/>
    <x v="40"/>
    <s v="Low"/>
    <d v="2021-08-28T00:00:00"/>
    <x v="2"/>
    <x v="0"/>
    <x v="1"/>
    <n v="1879"/>
    <n v="148"/>
    <n v="30"/>
    <n v="56370"/>
    <n v="1127.4000000000001"/>
    <x v="208"/>
    <n v="30.6936"/>
    <n v="278092"/>
    <n v="-222849.4"/>
    <n v="-401.12891999999999"/>
  </r>
  <r>
    <x v="3"/>
    <x v="3"/>
    <x v="2"/>
    <s v="CUST_ID_028"/>
    <s v="PROD_ID_003"/>
    <x v="27"/>
    <s v="Low"/>
    <d v="2021-09-17T00:00:00"/>
    <x v="0"/>
    <x v="0"/>
    <x v="1"/>
    <n v="3452"/>
    <n v="148"/>
    <n v="525"/>
    <n v="1812300"/>
    <n v="36246"/>
    <x v="218"/>
    <n v="986.81100000000004"/>
    <n v="510896"/>
    <n v="1265158"/>
    <n v="2277.2844"/>
  </r>
  <r>
    <x v="4"/>
    <x v="2"/>
    <x v="2"/>
    <s v="CUST_ID_123"/>
    <s v="PROD_ID_003"/>
    <x v="72"/>
    <s v="Low"/>
    <d v="2020-12-14T00:00:00"/>
    <x v="7"/>
    <x v="3"/>
    <x v="0"/>
    <n v="1266"/>
    <n v="148"/>
    <n v="18"/>
    <n v="22788"/>
    <n v="455.76"/>
    <x v="216"/>
    <n v="12.406799999999999"/>
    <n v="187368"/>
    <n v="-165035.76"/>
    <n v="-297.064368"/>
  </r>
  <r>
    <x v="4"/>
    <x v="3"/>
    <x v="2"/>
    <s v="CUST_ID_124"/>
    <s v="PROD_ID_003"/>
    <x v="73"/>
    <s v="Low"/>
    <d v="2021-04-09T00:00:00"/>
    <x v="5"/>
    <x v="2"/>
    <x v="1"/>
    <n v="1301"/>
    <n v="148"/>
    <n v="18"/>
    <n v="23418"/>
    <n v="468.36"/>
    <x v="217"/>
    <n v="12.74784"/>
    <n v="192548"/>
    <n v="-169598.36"/>
    <n v="-305.27704799999998"/>
  </r>
  <r>
    <x v="0"/>
    <x v="4"/>
    <x v="3"/>
    <s v="CUST_ID_125"/>
    <s v="PROD_ID_004"/>
    <x v="52"/>
    <s v="Low"/>
    <d v="2021-12-06T00:00:00"/>
    <x v="7"/>
    <x v="3"/>
    <x v="1"/>
    <n v="794"/>
    <n v="308"/>
    <n v="188"/>
    <n v="149272"/>
    <n v="2985.44"/>
    <x v="213"/>
    <n v="81.094999999999999"/>
    <n v="244552"/>
    <n v="-98265.44"/>
    <n v="-176.877792"/>
  </r>
  <r>
    <x v="3"/>
    <x v="7"/>
    <x v="3"/>
    <s v="CUST_ID_056"/>
    <s v="PROD_ID_004"/>
    <x v="55"/>
    <s v="Low"/>
    <d v="2021-11-16T00:00:00"/>
    <x v="6"/>
    <x v="3"/>
    <x v="1"/>
    <n v="3452"/>
    <n v="308"/>
    <n v="525"/>
    <n v="1812300"/>
    <n v="36246"/>
    <x v="218"/>
    <n v="986.81100000000004"/>
    <n v="1063216"/>
    <n v="712838"/>
    <n v="1283.1084000000001"/>
  </r>
  <r>
    <x v="0"/>
    <x v="0"/>
    <x v="3"/>
    <s v="CUST_ID_105"/>
    <s v="PROD_ID_004"/>
    <x v="38"/>
    <s v="Low"/>
    <d v="2021-12-13T00:00:00"/>
    <x v="7"/>
    <x v="3"/>
    <x v="1"/>
    <n v="3275"/>
    <n v="308"/>
    <n v="188"/>
    <n v="615700"/>
    <n v="12314"/>
    <x v="215"/>
    <n v="334.30250000000001"/>
    <n v="1008700"/>
    <n v="-405314"/>
    <n v="-729.5652"/>
  </r>
  <r>
    <x v="2"/>
    <x v="5"/>
    <x v="5"/>
    <s v="CUST_ID_126"/>
    <s v="PROD_ID_006"/>
    <x v="90"/>
    <s v="Low"/>
    <d v="2021-02-26T00:00:00"/>
    <x v="4"/>
    <x v="1"/>
    <x v="1"/>
    <n v="311"/>
    <n v="320"/>
    <n v="450"/>
    <n v="139950"/>
    <n v="2799"/>
    <x v="219"/>
    <n v="76.146000000000001"/>
    <n v="99520"/>
    <n v="37631"/>
    <n v="67.735799999999998"/>
  </r>
  <r>
    <x v="2"/>
    <x v="6"/>
    <x v="5"/>
    <s v="CUST_ID_127"/>
    <s v="PROD_ID_006"/>
    <x v="91"/>
    <s v="Low"/>
    <d v="2021-09-25T00:00:00"/>
    <x v="0"/>
    <x v="0"/>
    <x v="1"/>
    <n v="1321"/>
    <n v="320"/>
    <n v="450"/>
    <n v="594450"/>
    <n v="11889"/>
    <x v="220"/>
    <n v="323.69400000000002"/>
    <n v="422720"/>
    <n v="159841"/>
    <n v="287.71379999999999"/>
  </r>
  <r>
    <x v="0"/>
    <x v="0"/>
    <x v="5"/>
    <s v="CUST_ID_073"/>
    <s v="PROD_ID_006"/>
    <x v="70"/>
    <s v="Low"/>
    <d v="2021-09-23T00:00:00"/>
    <x v="0"/>
    <x v="0"/>
    <x v="1"/>
    <n v="2731"/>
    <n v="320"/>
    <n v="188"/>
    <n v="513428"/>
    <n v="10268.56"/>
    <x v="221"/>
    <n v="278.81"/>
    <n v="873920"/>
    <n v="-370760.56"/>
    <n v="-667.36900800000001"/>
  </r>
  <r>
    <x v="3"/>
    <x v="7"/>
    <x v="5"/>
    <s v="CUST_ID_064"/>
    <s v="PROD_ID_006"/>
    <x v="62"/>
    <s v="Low"/>
    <d v="2020-02-03T00:00:00"/>
    <x v="4"/>
    <x v="1"/>
    <x v="0"/>
    <n v="1483"/>
    <n v="320"/>
    <n v="30"/>
    <n v="44490"/>
    <n v="889.80000000000007"/>
    <x v="222"/>
    <n v="24.2256"/>
    <n v="474560"/>
    <n v="-430959.8"/>
    <n v="-775.72763999999995"/>
  </r>
  <r>
    <x v="3"/>
    <x v="0"/>
    <x v="5"/>
    <s v="CUST_ID_065"/>
    <s v="PROD_ID_006"/>
    <x v="63"/>
    <s v="Low"/>
    <d v="2021-11-19T00:00:00"/>
    <x v="6"/>
    <x v="3"/>
    <x v="1"/>
    <n v="1129"/>
    <n v="320"/>
    <n v="30"/>
    <n v="33870"/>
    <n v="677.4"/>
    <x v="223"/>
    <n v="18.4436"/>
    <n v="361280"/>
    <n v="-328087.40000000002"/>
    <n v="-590.55732"/>
  </r>
  <r>
    <x v="2"/>
    <x v="7"/>
    <x v="5"/>
    <s v="CUST_ID_128"/>
    <s v="PROD_ID_006"/>
    <x v="92"/>
    <s v="Low"/>
    <d v="2021-05-30T00:00:00"/>
    <x v="10"/>
    <x v="2"/>
    <x v="1"/>
    <n v="2299"/>
    <n v="320"/>
    <n v="450"/>
    <n v="1034550"/>
    <n v="20691"/>
    <x v="214"/>
    <n v="563.30399999999997"/>
    <n v="735680"/>
    <n v="278179"/>
    <n v="500.72219999999999"/>
  </r>
  <r>
    <x v="0"/>
    <x v="4"/>
    <x v="4"/>
    <s v="CUST_ID_085"/>
    <s v="PROD_ID_005"/>
    <x v="80"/>
    <s v="Low"/>
    <d v="2020-04-28T00:00:00"/>
    <x v="5"/>
    <x v="2"/>
    <x v="0"/>
    <n v="5092"/>
    <n v="4"/>
    <n v="188"/>
    <n v="957296"/>
    <n v="28718.879999999997"/>
    <x v="224"/>
    <n v="514.52437499999996"/>
    <n v="20368"/>
    <n v="908209.12"/>
    <n v="1634.7764159999999"/>
  </r>
  <r>
    <x v="3"/>
    <x v="7"/>
    <x v="4"/>
    <s v="CUST_ID_048"/>
    <s v="PROD_ID_005"/>
    <x v="47"/>
    <s v="Low"/>
    <d v="2021-04-09T00:00:00"/>
    <x v="5"/>
    <x v="2"/>
    <x v="1"/>
    <n v="3096"/>
    <n v="4"/>
    <n v="30"/>
    <n v="92880"/>
    <n v="2786.4"/>
    <x v="225"/>
    <n v="50.052"/>
    <n v="12384"/>
    <n v="77709.600000000006"/>
    <n v="139.87728000000001"/>
  </r>
  <r>
    <x v="2"/>
    <x v="3"/>
    <x v="4"/>
    <s v="CUST_ID_020"/>
    <s v="PROD_ID_005"/>
    <x v="19"/>
    <s v="Low"/>
    <d v="2021-10-23T00:00:00"/>
    <x v="9"/>
    <x v="3"/>
    <x v="1"/>
    <n v="827"/>
    <n v="4"/>
    <n v="450"/>
    <n v="372150"/>
    <n v="11164.5"/>
    <x v="226"/>
    <n v="200.499"/>
    <n v="3308"/>
    <n v="357677.5"/>
    <n v="643.81949999999995"/>
  </r>
  <r>
    <x v="4"/>
    <x v="3"/>
    <x v="4"/>
    <s v="CUST_ID_084"/>
    <s v="PROD_ID_005"/>
    <x v="79"/>
    <s v="Low"/>
    <d v="2021-04-23T00:00:00"/>
    <x v="5"/>
    <x v="2"/>
    <x v="1"/>
    <n v="2336"/>
    <n v="4"/>
    <n v="18"/>
    <n v="42048"/>
    <n v="1261.44"/>
    <x v="227"/>
    <n v="22.663080000000001"/>
    <n v="9344"/>
    <n v="31442.559999999998"/>
    <n v="56.596607999999996"/>
  </r>
  <r>
    <x v="3"/>
    <x v="4"/>
    <x v="0"/>
    <s v="CUST_ID_037"/>
    <s v="PROD_ID_001"/>
    <x v="36"/>
    <s v="Low"/>
    <d v="2021-05-26T00:00:00"/>
    <x v="10"/>
    <x v="2"/>
    <x v="1"/>
    <n v="2350"/>
    <n v="6"/>
    <n v="11"/>
    <n v="25850"/>
    <n v="775.5"/>
    <x v="228"/>
    <n v="13.29482"/>
    <n v="14100"/>
    <n v="10974.5"/>
    <n v="19.754100000000001"/>
  </r>
  <r>
    <x v="4"/>
    <x v="0"/>
    <x v="0"/>
    <s v="CUST_ID_129"/>
    <s v="PROD_ID_001"/>
    <x v="38"/>
    <s v="Low"/>
    <d v="2021-03-13T00:00:00"/>
    <x v="8"/>
    <x v="1"/>
    <x v="1"/>
    <n v="2281"/>
    <n v="6"/>
    <n v="18"/>
    <n v="41058"/>
    <n v="1231.74"/>
    <x v="229"/>
    <n v="22.12764"/>
    <n v="13686"/>
    <n v="26140.260000000002"/>
    <n v="47.052468000000005"/>
  </r>
  <r>
    <x v="3"/>
    <x v="2"/>
    <x v="0"/>
    <s v="CUST_ID_059"/>
    <s v="PROD_ID_001"/>
    <x v="58"/>
    <s v="Low"/>
    <d v="2020-07-23T00:00:00"/>
    <x v="3"/>
    <x v="0"/>
    <x v="0"/>
    <n v="653"/>
    <n v="6"/>
    <n v="11"/>
    <n v="7183"/>
    <n v="215.48999999999998"/>
    <x v="230"/>
    <n v="3.6937600000000002"/>
    <n v="3918"/>
    <n v="3049.51"/>
    <n v="5.4891180000000004"/>
  </r>
  <r>
    <x v="0"/>
    <x v="6"/>
    <x v="0"/>
    <s v="CUST_ID_079"/>
    <s v="PROD_ID_001"/>
    <x v="54"/>
    <s v="Low"/>
    <d v="2020-09-27T00:00:00"/>
    <x v="0"/>
    <x v="0"/>
    <x v="0"/>
    <n v="1544"/>
    <n v="6"/>
    <n v="188"/>
    <n v="290272"/>
    <n v="8708.16"/>
    <x v="231"/>
    <n v="156.04875000000001"/>
    <n v="9264"/>
    <n v="272299.84000000003"/>
    <n v="490.13971200000003"/>
  </r>
  <r>
    <x v="0"/>
    <x v="3"/>
    <x v="0"/>
    <s v="CUST_ID_068"/>
    <s v="PROD_ID_001"/>
    <x v="66"/>
    <s v="Low"/>
    <d v="2020-05-15T00:00:00"/>
    <x v="10"/>
    <x v="2"/>
    <x v="0"/>
    <n v="2047"/>
    <n v="6"/>
    <n v="188"/>
    <n v="384836"/>
    <n v="11545.08"/>
    <x v="232"/>
    <n v="206.85249999999999"/>
    <n v="12282"/>
    <n v="361008.92"/>
    <n v="649.816056"/>
  </r>
  <r>
    <x v="2"/>
    <x v="0"/>
    <x v="1"/>
    <s v="CUST_ID_121"/>
    <s v="PROD_ID_002"/>
    <x v="70"/>
    <s v="Low"/>
    <d v="2021-05-25T00:00:00"/>
    <x v="10"/>
    <x v="2"/>
    <x v="1"/>
    <n v="2921"/>
    <n v="12"/>
    <n v="450"/>
    <n v="1314450"/>
    <n v="39433.5"/>
    <x v="233"/>
    <n v="708.43949999999995"/>
    <n v="35052"/>
    <n v="1239964.5"/>
    <n v="2231.9360999999999"/>
  </r>
  <r>
    <x v="0"/>
    <x v="1"/>
    <x v="1"/>
    <s v="CUST_ID_122"/>
    <s v="PROD_ID_002"/>
    <x v="71"/>
    <s v="Low"/>
    <d v="2021-10-03T00:00:00"/>
    <x v="9"/>
    <x v="3"/>
    <x v="1"/>
    <n v="2129"/>
    <n v="12"/>
    <n v="188"/>
    <n v="400252"/>
    <n v="12007.56"/>
    <x v="234"/>
    <n v="215.0975"/>
    <n v="25548"/>
    <n v="362696.44"/>
    <n v="652.85359199999994"/>
  </r>
  <r>
    <x v="4"/>
    <x v="0"/>
    <x v="1"/>
    <s v="CUST_ID_025"/>
    <s v="PROD_ID_002"/>
    <x v="24"/>
    <s v="Low"/>
    <d v="2020-01-14T00:00:00"/>
    <x v="1"/>
    <x v="1"/>
    <x v="0"/>
    <n v="2281"/>
    <n v="12"/>
    <n v="18"/>
    <n v="41058"/>
    <n v="1231.74"/>
    <x v="229"/>
    <n v="22.12764"/>
    <n v="27372"/>
    <n v="12454.260000000002"/>
    <n v="22.417668000000003"/>
  </r>
  <r>
    <x v="2"/>
    <x v="4"/>
    <x v="1"/>
    <s v="CUST_ID_069"/>
    <s v="PROD_ID_002"/>
    <x v="56"/>
    <s v="Low"/>
    <d v="2020-12-14T00:00:00"/>
    <x v="7"/>
    <x v="3"/>
    <x v="0"/>
    <n v="827"/>
    <n v="12"/>
    <n v="450"/>
    <n v="372150"/>
    <n v="11164.5"/>
    <x v="226"/>
    <n v="200.499"/>
    <n v="9924"/>
    <n v="351061.5"/>
    <n v="631.91070000000002"/>
  </r>
  <r>
    <x v="0"/>
    <x v="6"/>
    <x v="1"/>
    <s v="CUST_ID_023"/>
    <s v="PROD_ID_002"/>
    <x v="22"/>
    <s v="Low"/>
    <d v="2021-06-14T00:00:00"/>
    <x v="11"/>
    <x v="2"/>
    <x v="1"/>
    <n v="1884"/>
    <n v="12"/>
    <n v="188"/>
    <n v="354192"/>
    <n v="10625.76"/>
    <x v="235"/>
    <n v="190.36250000000001"/>
    <n v="22608"/>
    <n v="320958.24"/>
    <n v="577.72483199999999"/>
  </r>
  <r>
    <x v="4"/>
    <x v="4"/>
    <x v="1"/>
    <s v="CUST_ID_005"/>
    <s v="PROD_ID_002"/>
    <x v="4"/>
    <s v="Low"/>
    <d v="2020-06-06T00:00:00"/>
    <x v="11"/>
    <x v="2"/>
    <x v="0"/>
    <n v="1643"/>
    <n v="12"/>
    <n v="18"/>
    <n v="29574"/>
    <n v="887.21999999999991"/>
    <x v="236"/>
    <n v="15.94098"/>
    <n v="19716"/>
    <n v="8970.7799999999988"/>
    <n v="16.147403999999998"/>
  </r>
  <r>
    <x v="0"/>
    <x v="1"/>
    <x v="1"/>
    <s v="CUST_ID_122"/>
    <s v="PROD_ID_002"/>
    <x v="71"/>
    <s v="Low"/>
    <d v="2020-01-07T00:00:00"/>
    <x v="1"/>
    <x v="1"/>
    <x v="0"/>
    <n v="2411"/>
    <n v="12"/>
    <n v="188"/>
    <n v="453268"/>
    <n v="13598.039999999999"/>
    <x v="237"/>
    <n v="243.59125"/>
    <n v="28932"/>
    <n v="410737.96"/>
    <n v="739.32832800000006"/>
  </r>
  <r>
    <x v="0"/>
    <x v="2"/>
    <x v="1"/>
    <s v="CUST_ID_051"/>
    <s v="PROD_ID_002"/>
    <x v="50"/>
    <s v="Low"/>
    <d v="2020-05-31T00:00:00"/>
    <x v="10"/>
    <x v="2"/>
    <x v="0"/>
    <n v="1544"/>
    <n v="12"/>
    <n v="188"/>
    <n v="290272"/>
    <n v="8708.16"/>
    <x v="231"/>
    <n v="156.04875000000001"/>
    <n v="18528"/>
    <n v="263035.84000000003"/>
    <n v="473.46451200000001"/>
  </r>
  <r>
    <x v="0"/>
    <x v="6"/>
    <x v="1"/>
    <s v="CUST_ID_023"/>
    <s v="PROD_ID_002"/>
    <x v="22"/>
    <s v="Low"/>
    <d v="2021-07-17T00:00:00"/>
    <x v="3"/>
    <x v="0"/>
    <x v="1"/>
    <n v="2047"/>
    <n v="12"/>
    <n v="188"/>
    <n v="384836"/>
    <n v="11545.08"/>
    <x v="232"/>
    <n v="206.85249999999999"/>
    <n v="24564"/>
    <n v="348726.92"/>
    <n v="627.70845599999996"/>
  </r>
  <r>
    <x v="0"/>
    <x v="6"/>
    <x v="2"/>
    <s v="CUST_ID_007"/>
    <s v="PROD_ID_003"/>
    <x v="6"/>
    <s v="Low"/>
    <d v="2021-02-11T00:00:00"/>
    <x v="4"/>
    <x v="1"/>
    <x v="1"/>
    <n v="2411"/>
    <n v="148"/>
    <n v="188"/>
    <n v="453268"/>
    <n v="13598.039999999999"/>
    <x v="237"/>
    <n v="243.59125"/>
    <n v="356828"/>
    <n v="82841.960000000021"/>
    <n v="149.11552800000004"/>
  </r>
  <r>
    <x v="2"/>
    <x v="2"/>
    <x v="3"/>
    <s v="CUST_ID_075"/>
    <s v="PROD_ID_004"/>
    <x v="72"/>
    <s v="Low"/>
    <d v="2021-04-24T00:00:00"/>
    <x v="5"/>
    <x v="2"/>
    <x v="1"/>
    <n v="3413"/>
    <n v="308"/>
    <n v="450"/>
    <n v="1535850"/>
    <n v="46075.5"/>
    <x v="238"/>
    <n v="827.60400000000004"/>
    <n v="1051204"/>
    <n v="438570.5"/>
    <n v="789.42689999999993"/>
  </r>
  <r>
    <x v="4"/>
    <x v="0"/>
    <x v="3"/>
    <s v="CUST_ID_089"/>
    <s v="PROD_ID_004"/>
    <x v="82"/>
    <s v="Low"/>
    <d v="2020-09-23T00:00:00"/>
    <x v="0"/>
    <x v="0"/>
    <x v="0"/>
    <n v="2299"/>
    <n v="308"/>
    <n v="18"/>
    <n v="41382"/>
    <n v="1241.46"/>
    <x v="239"/>
    <n v="22.302240000000001"/>
    <n v="708092"/>
    <n v="-667951.46"/>
    <n v="-1202.3126279999999"/>
  </r>
  <r>
    <x v="0"/>
    <x v="1"/>
    <x v="3"/>
    <s v="CUST_ID_130"/>
    <s v="PROD_ID_004"/>
    <x v="57"/>
    <s v="Low"/>
    <d v="2020-03-08T00:00:00"/>
    <x v="8"/>
    <x v="1"/>
    <x v="0"/>
    <n v="1884"/>
    <n v="308"/>
    <n v="188"/>
    <n v="354192"/>
    <n v="10625.76"/>
    <x v="235"/>
    <n v="190.36250000000001"/>
    <n v="580272"/>
    <n v="-236705.76"/>
    <n v="-426.07036800000003"/>
  </r>
  <r>
    <x v="2"/>
    <x v="6"/>
    <x v="3"/>
    <s v="CUST_ID_063"/>
    <s v="PROD_ID_004"/>
    <x v="61"/>
    <s v="Low"/>
    <d v="2020-04-11T00:00:00"/>
    <x v="5"/>
    <x v="2"/>
    <x v="0"/>
    <n v="2249"/>
    <n v="308"/>
    <n v="450"/>
    <n v="1012050"/>
    <n v="30361.5"/>
    <x v="240"/>
    <n v="545.33399999999995"/>
    <n v="692692"/>
    <n v="288996.5"/>
    <n v="520.19370000000004"/>
  </r>
  <r>
    <x v="3"/>
    <x v="1"/>
    <x v="3"/>
    <s v="CUST_ID_034"/>
    <s v="PROD_ID_004"/>
    <x v="33"/>
    <s v="Low"/>
    <d v="2020-12-21T00:00:00"/>
    <x v="7"/>
    <x v="3"/>
    <x v="0"/>
    <n v="1970"/>
    <n v="308"/>
    <n v="525"/>
    <n v="1034250"/>
    <n v="31027.5"/>
    <x v="241"/>
    <n v="557.45899999999995"/>
    <n v="606760"/>
    <n v="396462.5"/>
    <n v="713.63249999999994"/>
  </r>
  <r>
    <x v="3"/>
    <x v="1"/>
    <x v="4"/>
    <s v="CUST_ID_042"/>
    <s v="PROD_ID_005"/>
    <x v="41"/>
    <s v="Low"/>
    <d v="2020-12-20T00:00:00"/>
    <x v="7"/>
    <x v="3"/>
    <x v="0"/>
    <n v="997"/>
    <n v="4"/>
    <n v="30"/>
    <n v="29910"/>
    <n v="897.30000000000007"/>
    <x v="242"/>
    <n v="16.121400000000001"/>
    <n v="3988"/>
    <n v="25024.7"/>
    <n v="45.044460000000001"/>
  </r>
  <r>
    <x v="3"/>
    <x v="7"/>
    <x v="2"/>
    <s v="CUST_ID_016"/>
    <s v="PROD_ID_003"/>
    <x v="15"/>
    <s v="Low"/>
    <d v="2020-12-02T00:00:00"/>
    <x v="7"/>
    <x v="3"/>
    <x v="0"/>
    <n v="4621"/>
    <n v="148"/>
    <n v="30"/>
    <n v="138630"/>
    <n v="4158.9000000000005"/>
    <x v="243"/>
    <n v="74.699700000000007"/>
    <n v="683908"/>
    <n v="-549436.9"/>
    <n v="-988.98642000000007"/>
  </r>
  <r>
    <x v="4"/>
    <x v="2"/>
    <x v="3"/>
    <s v="CUST_ID_067"/>
    <s v="PROD_ID_004"/>
    <x v="65"/>
    <s v="Low"/>
    <d v="2021-12-14T00:00:00"/>
    <x v="7"/>
    <x v="3"/>
    <x v="1"/>
    <n v="2975"/>
    <n v="308"/>
    <n v="18"/>
    <n v="53550"/>
    <n v="1606.5000000000002"/>
    <x v="244"/>
    <n v="28.855560000000001"/>
    <n v="916300"/>
    <n v="-864356.5"/>
    <n v="-1555.8416999999999"/>
  </r>
  <r>
    <x v="1"/>
    <x v="7"/>
    <x v="0"/>
    <s v="CUST_ID_112"/>
    <s v="PROD_ID_001"/>
    <x v="81"/>
    <s v="Low"/>
    <d v="2021-04-21T00:00:00"/>
    <x v="5"/>
    <x v="2"/>
    <x v="1"/>
    <n v="2437"/>
    <n v="6"/>
    <n v="23"/>
    <n v="56051"/>
    <n v="2242.0399999999995"/>
    <x v="245"/>
    <n v="29.246400000000001"/>
    <n v="14622"/>
    <n v="39186.959999999999"/>
    <n v="70.53652799999999"/>
  </r>
  <r>
    <x v="1"/>
    <x v="3"/>
    <x v="1"/>
    <s v="CUST_ID_044"/>
    <s v="PROD_ID_002"/>
    <x v="43"/>
    <s v="Low"/>
    <d v="2021-12-23T00:00:00"/>
    <x v="7"/>
    <x v="3"/>
    <x v="1"/>
    <n v="2437"/>
    <n v="12"/>
    <n v="23"/>
    <n v="56051"/>
    <n v="2242.0399999999995"/>
    <x v="245"/>
    <n v="29.246400000000001"/>
    <n v="29244"/>
    <n v="24564.959999999999"/>
    <n v="44.216927999999996"/>
  </r>
  <r>
    <x v="2"/>
    <x v="3"/>
    <x v="4"/>
    <s v="CUST_ID_020"/>
    <s v="PROD_ID_005"/>
    <x v="19"/>
    <s v="Low"/>
    <d v="2020-09-06T00:00:00"/>
    <x v="0"/>
    <x v="0"/>
    <x v="0"/>
    <n v="2425"/>
    <n v="4"/>
    <n v="450"/>
    <n v="1091250"/>
    <n v="43650"/>
    <x v="246"/>
    <n v="582.048"/>
    <n v="9700"/>
    <n v="1037900"/>
    <n v="1868.22"/>
  </r>
  <r>
    <x v="3"/>
    <x v="0"/>
    <x v="4"/>
    <s v="CUST_ID_057"/>
    <s v="PROD_ID_005"/>
    <x v="56"/>
    <s v="Low"/>
    <d v="2021-06-09T00:00:00"/>
    <x v="11"/>
    <x v="2"/>
    <x v="1"/>
    <n v="329"/>
    <n v="4"/>
    <n v="525"/>
    <n v="172725"/>
    <n v="6909"/>
    <x v="247"/>
    <n v="92.063999999999993"/>
    <n v="1316"/>
    <n v="164500"/>
    <n v="296.09999999999997"/>
  </r>
  <r>
    <x v="1"/>
    <x v="2"/>
    <x v="0"/>
    <s v="CUST_ID_131"/>
    <s v="PROD_ID_001"/>
    <x v="93"/>
    <s v="Low"/>
    <d v="2021-11-28T00:00:00"/>
    <x v="6"/>
    <x v="3"/>
    <x v="1"/>
    <n v="2360"/>
    <n v="6"/>
    <n v="23"/>
    <n v="54280"/>
    <n v="2171.1999999999998"/>
    <x v="248"/>
    <n v="28.3248"/>
    <n v="14160"/>
    <n v="37948.800000000003"/>
    <n v="68.307839999999999"/>
  </r>
  <r>
    <x v="2"/>
    <x v="7"/>
    <x v="0"/>
    <s v="CUST_ID_080"/>
    <s v="PROD_ID_001"/>
    <x v="66"/>
    <s v="Low"/>
    <d v="2021-05-20T00:00:00"/>
    <x v="10"/>
    <x v="2"/>
    <x v="1"/>
    <n v="2231"/>
    <n v="6"/>
    <n v="450"/>
    <n v="1003950"/>
    <n v="40158"/>
    <x v="249"/>
    <n v="535.39200000000005"/>
    <n v="13386"/>
    <n v="950406"/>
    <n v="1710.7308"/>
  </r>
  <r>
    <x v="2"/>
    <x v="7"/>
    <x v="0"/>
    <s v="CUST_ID_080"/>
    <s v="PROD_ID_001"/>
    <x v="66"/>
    <s v="Low"/>
    <d v="2021-06-06T00:00:00"/>
    <x v="11"/>
    <x v="2"/>
    <x v="1"/>
    <n v="2425"/>
    <n v="6"/>
    <n v="450"/>
    <n v="1091250"/>
    <n v="43650"/>
    <x v="246"/>
    <n v="582.048"/>
    <n v="14550"/>
    <n v="1033050"/>
    <n v="1859.49"/>
  </r>
  <r>
    <x v="0"/>
    <x v="5"/>
    <x v="0"/>
    <s v="CUST_ID_022"/>
    <s v="PROD_ID_001"/>
    <x v="21"/>
    <s v="Low"/>
    <d v="2021-11-04T00:00:00"/>
    <x v="6"/>
    <x v="3"/>
    <x v="1"/>
    <n v="1366"/>
    <n v="6"/>
    <n v="188"/>
    <n v="256808"/>
    <n v="10272.32"/>
    <x v="250"/>
    <n v="136.56"/>
    <n v="8196"/>
    <n v="238339.68"/>
    <n v="429.01142399999998"/>
  </r>
  <r>
    <x v="3"/>
    <x v="3"/>
    <x v="1"/>
    <s v="CUST_ID_004"/>
    <s v="PROD_ID_002"/>
    <x v="3"/>
    <s v="Low"/>
    <d v="2020-05-05T00:00:00"/>
    <x v="10"/>
    <x v="2"/>
    <x v="0"/>
    <n v="5101"/>
    <n v="12"/>
    <n v="11"/>
    <n v="56111"/>
    <n v="2244.44"/>
    <x v="251"/>
    <n v="28.56672"/>
    <n v="61212"/>
    <n v="-7345.4400000000023"/>
    <n v="-13.221792000000004"/>
  </r>
  <r>
    <x v="0"/>
    <x v="6"/>
    <x v="1"/>
    <s v="CUST_ID_023"/>
    <s v="PROD_ID_002"/>
    <x v="22"/>
    <s v="Low"/>
    <d v="2021-11-09T00:00:00"/>
    <x v="6"/>
    <x v="3"/>
    <x v="1"/>
    <n v="954"/>
    <n v="12"/>
    <n v="188"/>
    <n v="179352"/>
    <n v="7174.08"/>
    <x v="252"/>
    <n v="95.4"/>
    <n v="11448"/>
    <n v="160729.92000000001"/>
    <n v="289.31385599999999"/>
  </r>
  <r>
    <x v="2"/>
    <x v="4"/>
    <x v="1"/>
    <s v="CUST_ID_069"/>
    <s v="PROD_ID_002"/>
    <x v="56"/>
    <s v="Low"/>
    <d v="2020-02-24T00:00:00"/>
    <x v="4"/>
    <x v="1"/>
    <x v="0"/>
    <n v="1697"/>
    <n v="12"/>
    <n v="450"/>
    <n v="763650"/>
    <n v="30546"/>
    <x v="253"/>
    <n v="407.37599999999998"/>
    <n v="20364"/>
    <n v="712740"/>
    <n v="1282.932"/>
  </r>
  <r>
    <x v="2"/>
    <x v="3"/>
    <x v="1"/>
    <s v="CUST_ID_116"/>
    <s v="PROD_ID_002"/>
    <x v="85"/>
    <s v="Low"/>
    <d v="2020-08-31T00:00:00"/>
    <x v="2"/>
    <x v="0"/>
    <x v="0"/>
    <n v="3502"/>
    <n v="12"/>
    <n v="450"/>
    <n v="1575900"/>
    <n v="63036"/>
    <x v="254"/>
    <n v="840.38400000000001"/>
    <n v="42024"/>
    <n v="1470840"/>
    <n v="2647.5119999999997"/>
  </r>
  <r>
    <x v="3"/>
    <x v="2"/>
    <x v="1"/>
    <s v="CUST_ID_027"/>
    <s v="PROD_ID_002"/>
    <x v="26"/>
    <s v="Low"/>
    <d v="2021-07-27T00:00:00"/>
    <x v="3"/>
    <x v="0"/>
    <x v="1"/>
    <n v="4140"/>
    <n v="12"/>
    <n v="525"/>
    <n v="2173500"/>
    <n v="86940"/>
    <x v="255"/>
    <n v="1159.2"/>
    <n v="49680"/>
    <n v="2036880"/>
    <n v="3666.384"/>
  </r>
  <r>
    <x v="0"/>
    <x v="2"/>
    <x v="1"/>
    <s v="CUST_ID_051"/>
    <s v="PROD_ID_002"/>
    <x v="50"/>
    <s v="Low"/>
    <d v="2021-01-29T00:00:00"/>
    <x v="1"/>
    <x v="1"/>
    <x v="1"/>
    <n v="3586"/>
    <n v="12"/>
    <n v="188"/>
    <n v="674168"/>
    <n v="26966.720000000001"/>
    <x v="256"/>
    <n v="358.56"/>
    <n v="43032"/>
    <n v="604169.28"/>
    <n v="1087.5047039999999"/>
  </r>
  <r>
    <x v="1"/>
    <x v="5"/>
    <x v="1"/>
    <s v="CUST_ID_006"/>
    <s v="PROD_ID_002"/>
    <x v="5"/>
    <s v="Low"/>
    <d v="2021-04-05T00:00:00"/>
    <x v="5"/>
    <x v="2"/>
    <x v="1"/>
    <n v="262"/>
    <n v="12"/>
    <n v="23"/>
    <n v="6026"/>
    <n v="241.04"/>
    <x v="257"/>
    <n v="3.1391999999999998"/>
    <n v="3144"/>
    <n v="2640.96"/>
    <n v="4.7537279999999997"/>
  </r>
  <r>
    <x v="3"/>
    <x v="3"/>
    <x v="1"/>
    <s v="CUST_ID_004"/>
    <s v="PROD_ID_002"/>
    <x v="3"/>
    <s v="Low"/>
    <d v="2021-12-30T00:00:00"/>
    <x v="7"/>
    <x v="3"/>
    <x v="1"/>
    <n v="2489"/>
    <n v="12"/>
    <n v="30"/>
    <n v="74670"/>
    <n v="2986.8"/>
    <x v="258"/>
    <n v="39.820800000000006"/>
    <n v="29868"/>
    <n v="41815.199999999997"/>
    <n v="75.267359999999996"/>
  </r>
  <r>
    <x v="3"/>
    <x v="2"/>
    <x v="1"/>
    <s v="CUST_ID_027"/>
    <s v="PROD_ID_002"/>
    <x v="26"/>
    <s v="Low"/>
    <d v="2021-03-16T00:00:00"/>
    <x v="8"/>
    <x v="1"/>
    <x v="1"/>
    <n v="1267"/>
    <n v="12"/>
    <n v="30"/>
    <n v="38010"/>
    <n v="1520.4"/>
    <x v="259"/>
    <n v="20.275200000000002"/>
    <n v="15204"/>
    <n v="21285.599999999999"/>
    <n v="38.314079999999997"/>
  </r>
  <r>
    <x v="3"/>
    <x v="2"/>
    <x v="1"/>
    <s v="CUST_ID_027"/>
    <s v="PROD_ID_002"/>
    <x v="26"/>
    <s v="Low"/>
    <d v="2020-11-16T00:00:00"/>
    <x v="6"/>
    <x v="3"/>
    <x v="0"/>
    <n v="329"/>
    <n v="12"/>
    <n v="525"/>
    <n v="172725"/>
    <n v="6909"/>
    <x v="247"/>
    <n v="92.063999999999993"/>
    <n v="3948"/>
    <n v="161868"/>
    <n v="291.36239999999998"/>
  </r>
  <r>
    <x v="0"/>
    <x v="7"/>
    <x v="1"/>
    <s v="CUST_ID_024"/>
    <s v="PROD_ID_002"/>
    <x v="23"/>
    <s v="Low"/>
    <d v="2020-02-19T00:00:00"/>
    <x v="4"/>
    <x v="1"/>
    <x v="0"/>
    <n v="1366"/>
    <n v="12"/>
    <n v="188"/>
    <n v="256808"/>
    <n v="10272.32"/>
    <x v="250"/>
    <n v="136.56"/>
    <n v="16392"/>
    <n v="230143.68"/>
    <n v="414.258624"/>
  </r>
  <r>
    <x v="4"/>
    <x v="3"/>
    <x v="2"/>
    <s v="CUST_ID_132"/>
    <s v="PROD_ID_003"/>
    <x v="79"/>
    <s v="Low"/>
    <d v="2021-12-26T00:00:00"/>
    <x v="7"/>
    <x v="3"/>
    <x v="1"/>
    <n v="1758"/>
    <n v="148"/>
    <n v="18"/>
    <n v="31644"/>
    <n v="1265.76"/>
    <x v="260"/>
    <n v="16.876799999999999"/>
    <n v="260184"/>
    <n v="-229805.76"/>
    <n v="-413.65036800000001"/>
  </r>
  <r>
    <x v="3"/>
    <x v="5"/>
    <x v="2"/>
    <s v="CUST_ID_054"/>
    <s v="PROD_ID_003"/>
    <x v="53"/>
    <s v="Low"/>
    <d v="2021-05-18T00:00:00"/>
    <x v="10"/>
    <x v="2"/>
    <x v="1"/>
    <n v="2612"/>
    <n v="148"/>
    <n v="525"/>
    <n v="1371300"/>
    <n v="54852"/>
    <x v="261"/>
    <n v="731.47199999999998"/>
    <n v="386576"/>
    <n v="929872"/>
    <n v="1673.7695999999999"/>
  </r>
  <r>
    <x v="4"/>
    <x v="0"/>
    <x v="3"/>
    <s v="CUST_ID_081"/>
    <s v="PROD_ID_004"/>
    <x v="76"/>
    <s v="Low"/>
    <d v="2020-06-30T00:00:00"/>
    <x v="11"/>
    <x v="2"/>
    <x v="0"/>
    <n v="1039"/>
    <n v="308"/>
    <n v="18"/>
    <n v="18702"/>
    <n v="748.08"/>
    <x v="262"/>
    <n v="9.9763199999999994"/>
    <n v="320012"/>
    <n v="-302058.08"/>
    <n v="-543.70454400000006"/>
  </r>
  <r>
    <x v="3"/>
    <x v="7"/>
    <x v="3"/>
    <s v="CUST_ID_008"/>
    <s v="PROD_ID_004"/>
    <x v="7"/>
    <s v="Low"/>
    <d v="2020-03-02T00:00:00"/>
    <x v="8"/>
    <x v="1"/>
    <x v="0"/>
    <n v="2612"/>
    <n v="308"/>
    <n v="525"/>
    <n v="1371300"/>
    <n v="54852"/>
    <x v="261"/>
    <n v="731.47199999999998"/>
    <n v="804496"/>
    <n v="511952"/>
    <n v="921.5136"/>
  </r>
  <r>
    <x v="3"/>
    <x v="4"/>
    <x v="5"/>
    <s v="CUST_ID_093"/>
    <s v="PROD_ID_006"/>
    <x v="56"/>
    <s v="Low"/>
    <d v="2020-01-10T00:00:00"/>
    <x v="1"/>
    <x v="1"/>
    <x v="0"/>
    <n v="2238"/>
    <n v="320"/>
    <n v="525"/>
    <n v="1174950"/>
    <n v="46998"/>
    <x v="263"/>
    <n v="626.64"/>
    <n v="716160"/>
    <n v="411792"/>
    <n v="741.22559999999999"/>
  </r>
  <r>
    <x v="0"/>
    <x v="3"/>
    <x v="5"/>
    <s v="CUST_ID_092"/>
    <s v="PROD_ID_006"/>
    <x v="85"/>
    <s v="Low"/>
    <d v="2021-05-13T00:00:00"/>
    <x v="10"/>
    <x v="2"/>
    <x v="1"/>
    <n v="1289"/>
    <n v="320"/>
    <n v="188"/>
    <n v="242332"/>
    <n v="9693.2800000000007"/>
    <x v="264"/>
    <n v="128.88"/>
    <n v="412480"/>
    <n v="-179841.28"/>
    <n v="-323.71430399999997"/>
  </r>
  <r>
    <x v="3"/>
    <x v="2"/>
    <x v="5"/>
    <s v="CUST_ID_035"/>
    <s v="PROD_ID_006"/>
    <x v="34"/>
    <s v="Low"/>
    <d v="2020-12-10T00:00:00"/>
    <x v="7"/>
    <x v="3"/>
    <x v="0"/>
    <n v="2288"/>
    <n v="320"/>
    <n v="525"/>
    <n v="1201200"/>
    <n v="48048"/>
    <x v="265"/>
    <n v="640.75199999999995"/>
    <n v="732160"/>
    <n v="420992"/>
    <n v="757.78559999999993"/>
  </r>
  <r>
    <x v="3"/>
    <x v="7"/>
    <x v="1"/>
    <s v="CUST_ID_072"/>
    <s v="PROD_ID_002"/>
    <x v="69"/>
    <s v="Medium"/>
    <d v="2021-04-07T00:00:00"/>
    <x v="5"/>
    <x v="2"/>
    <x v="1"/>
    <n v="1646"/>
    <n v="12"/>
    <n v="11"/>
    <n v="18106"/>
    <n v="905.3"/>
    <x v="266"/>
    <n v="9.1237999999999992"/>
    <n v="19752"/>
    <n v="-2551.2999999999993"/>
    <n v="-4.5923399999999983"/>
  </r>
  <r>
    <x v="3"/>
    <x v="7"/>
    <x v="1"/>
    <s v="CUST_ID_040"/>
    <s v="PROD_ID_002"/>
    <x v="39"/>
    <s v="Medium"/>
    <d v="2021-02-03T00:00:00"/>
    <x v="4"/>
    <x v="1"/>
    <x v="1"/>
    <n v="3227"/>
    <n v="12"/>
    <n v="11"/>
    <n v="35497"/>
    <n v="1774.85"/>
    <x v="267"/>
    <n v="17.88185"/>
    <n v="38724"/>
    <n v="-5001.8499999999985"/>
    <n v="-9.0033299999999965"/>
  </r>
  <r>
    <x v="4"/>
    <x v="3"/>
    <x v="1"/>
    <s v="CUST_ID_060"/>
    <s v="PROD_ID_002"/>
    <x v="41"/>
    <s v="Medium"/>
    <d v="2021-12-10T00:00:00"/>
    <x v="7"/>
    <x v="3"/>
    <x v="1"/>
    <n v="2917"/>
    <n v="12"/>
    <n v="18"/>
    <n v="52506"/>
    <n v="2625.2999999999997"/>
    <x v="268"/>
    <n v="27.7134"/>
    <n v="35004"/>
    <n v="14876.699999999997"/>
    <n v="26.778059999999993"/>
  </r>
  <r>
    <x v="4"/>
    <x v="4"/>
    <x v="2"/>
    <s v="CUST_ID_133"/>
    <s v="PROD_ID_003"/>
    <x v="80"/>
    <s v="Medium"/>
    <d v="2021-11-08T00:00:00"/>
    <x v="6"/>
    <x v="3"/>
    <x v="1"/>
    <n v="2917"/>
    <n v="148"/>
    <n v="18"/>
    <n v="52506"/>
    <n v="2625.2999999999997"/>
    <x v="268"/>
    <n v="27.7134"/>
    <n v="431716"/>
    <n v="-381835.3"/>
    <n v="-687.30354"/>
  </r>
  <r>
    <x v="3"/>
    <x v="1"/>
    <x v="3"/>
    <s v="CUST_ID_034"/>
    <s v="PROD_ID_004"/>
    <x v="33"/>
    <s v="Medium"/>
    <d v="2020-07-14T00:00:00"/>
    <x v="3"/>
    <x v="0"/>
    <x v="0"/>
    <n v="3227"/>
    <n v="308"/>
    <n v="11"/>
    <n v="35497"/>
    <n v="1774.85"/>
    <x v="267"/>
    <n v="17.88185"/>
    <n v="993916"/>
    <n v="-960193.85"/>
    <n v="-1728.3489299999999"/>
  </r>
  <r>
    <x v="3"/>
    <x v="4"/>
    <x v="5"/>
    <s v="CUST_ID_093"/>
    <s v="PROD_ID_006"/>
    <x v="56"/>
    <s v="Medium"/>
    <d v="2021-01-16T00:00:00"/>
    <x v="1"/>
    <x v="1"/>
    <x v="1"/>
    <n v="2020"/>
    <n v="320"/>
    <n v="11"/>
    <n v="22220"/>
    <n v="1111"/>
    <x v="269"/>
    <n v="11.19195"/>
    <n v="646400"/>
    <n v="-625291"/>
    <n v="-1125.5237999999999"/>
  </r>
  <r>
    <x v="4"/>
    <x v="3"/>
    <x v="5"/>
    <s v="CUST_ID_076"/>
    <s v="PROD_ID_006"/>
    <x v="73"/>
    <s v="Medium"/>
    <d v="2021-01-01T00:00:00"/>
    <x v="1"/>
    <x v="1"/>
    <x v="1"/>
    <n v="1348"/>
    <n v="320"/>
    <n v="18"/>
    <n v="24264"/>
    <n v="1213.1999999999998"/>
    <x v="270"/>
    <n v="12.802200000000001"/>
    <n v="431360"/>
    <n v="-408309.2"/>
    <n v="-734.95655999999997"/>
  </r>
  <r>
    <x v="4"/>
    <x v="7"/>
    <x v="4"/>
    <s v="CUST_ID_088"/>
    <s v="PROD_ID_005"/>
    <x v="81"/>
    <s v="Medium"/>
    <d v="2021-01-13T00:00:00"/>
    <x v="1"/>
    <x v="1"/>
    <x v="1"/>
    <n v="2238"/>
    <n v="4"/>
    <n v="18"/>
    <n v="40284"/>
    <n v="2014.2"/>
    <x v="271"/>
    <n v="21.260999999999999"/>
    <n v="8952"/>
    <n v="29317.800000000003"/>
    <n v="52.772040000000004"/>
  </r>
  <r>
    <x v="4"/>
    <x v="1"/>
    <x v="4"/>
    <s v="CUST_ID_010"/>
    <s v="PROD_ID_005"/>
    <x v="9"/>
    <s v="Medium"/>
    <d v="2020-05-29T00:00:00"/>
    <x v="10"/>
    <x v="2"/>
    <x v="0"/>
    <n v="1339"/>
    <n v="4"/>
    <n v="18"/>
    <n v="24102"/>
    <n v="1205.1000000000001"/>
    <x v="272"/>
    <n v="12.7224"/>
    <n v="5356"/>
    <n v="17540.900000000001"/>
    <n v="31.573620000000002"/>
  </r>
  <r>
    <x v="3"/>
    <x v="4"/>
    <x v="4"/>
    <s v="CUST_ID_021"/>
    <s v="PROD_ID_005"/>
    <x v="20"/>
    <s v="Medium"/>
    <d v="2020-08-09T00:00:00"/>
    <x v="2"/>
    <x v="0"/>
    <x v="0"/>
    <n v="1876"/>
    <n v="4"/>
    <n v="30"/>
    <n v="56280"/>
    <n v="2814"/>
    <x v="273"/>
    <n v="29.696999999999999"/>
    <n v="7504"/>
    <n v="45962"/>
    <n v="82.7316"/>
  </r>
  <r>
    <x v="2"/>
    <x v="5"/>
    <x v="4"/>
    <s v="CUST_ID_134"/>
    <s v="PROD_ID_005"/>
    <x v="49"/>
    <s v="Medium"/>
    <d v="2021-12-23T00:00:00"/>
    <x v="7"/>
    <x v="3"/>
    <x v="1"/>
    <n v="1189"/>
    <n v="4"/>
    <n v="450"/>
    <n v="535050"/>
    <n v="26752.5"/>
    <x v="274"/>
    <n v="282.435"/>
    <n v="4756"/>
    <n v="503541.5"/>
    <n v="906.37469999999996"/>
  </r>
  <r>
    <x v="1"/>
    <x v="3"/>
    <x v="4"/>
    <s v="CUST_ID_108"/>
    <s v="PROD_ID_005"/>
    <x v="79"/>
    <s v="Medium"/>
    <d v="2020-09-06T00:00:00"/>
    <x v="0"/>
    <x v="0"/>
    <x v="0"/>
    <n v="3349"/>
    <n v="4"/>
    <n v="23"/>
    <n v="77027"/>
    <n v="3851.3500000000004"/>
    <x v="275"/>
    <n v="39.771749999999997"/>
    <n v="13396"/>
    <n v="59779.649999999994"/>
    <n v="107.60336999999998"/>
  </r>
  <r>
    <x v="3"/>
    <x v="0"/>
    <x v="4"/>
    <s v="CUST_ID_057"/>
    <s v="PROD_ID_005"/>
    <x v="56"/>
    <s v="Medium"/>
    <d v="2020-04-05T00:00:00"/>
    <x v="5"/>
    <x v="2"/>
    <x v="0"/>
    <n v="684"/>
    <n v="4"/>
    <n v="11"/>
    <n v="7524"/>
    <n v="376.20000000000005"/>
    <x v="276"/>
    <n v="3.7905000000000002"/>
    <n v="2736"/>
    <n v="4411.8"/>
    <n v="7.9412400000000005"/>
  </r>
  <r>
    <x v="3"/>
    <x v="4"/>
    <x v="4"/>
    <s v="CUST_ID_021"/>
    <s v="PROD_ID_005"/>
    <x v="20"/>
    <s v="Medium"/>
    <d v="2021-08-08T00:00:00"/>
    <x v="2"/>
    <x v="0"/>
    <x v="1"/>
    <n v="2984"/>
    <n v="4"/>
    <n v="11"/>
    <n v="32824"/>
    <n v="1641.2"/>
    <x v="277"/>
    <n v="16.538550000000001"/>
    <n v="11936"/>
    <n v="19246.8"/>
    <n v="34.644239999999996"/>
  </r>
  <r>
    <x v="3"/>
    <x v="2"/>
    <x v="0"/>
    <s v="CUST_ID_059"/>
    <s v="PROD_ID_001"/>
    <x v="58"/>
    <s v="Medium"/>
    <d v="2020-06-24T00:00:00"/>
    <x v="11"/>
    <x v="2"/>
    <x v="0"/>
    <n v="1661"/>
    <n v="6"/>
    <n v="525"/>
    <n v="872025"/>
    <n v="43601.25"/>
    <x v="278"/>
    <n v="460.34625"/>
    <n v="9966"/>
    <n v="818457.75"/>
    <n v="1473.2239500000001"/>
  </r>
  <r>
    <x v="0"/>
    <x v="4"/>
    <x v="0"/>
    <s v="CUST_ID_013"/>
    <s v="PROD_ID_001"/>
    <x v="12"/>
    <s v="Medium"/>
    <d v="2020-06-06T00:00:00"/>
    <x v="11"/>
    <x v="2"/>
    <x v="0"/>
    <n v="4352"/>
    <n v="6"/>
    <n v="188"/>
    <n v="818176"/>
    <n v="40908.800000000003"/>
    <x v="279"/>
    <n v="430.70625000000001"/>
    <n v="26112"/>
    <n v="751155.19999999995"/>
    <n v="1352.07936"/>
  </r>
  <r>
    <x v="4"/>
    <x v="6"/>
    <x v="0"/>
    <s v="CUST_ID_111"/>
    <s v="PROD_ID_001"/>
    <x v="50"/>
    <s v="Medium"/>
    <d v="2020-08-24T00:00:00"/>
    <x v="2"/>
    <x v="0"/>
    <x v="0"/>
    <n v="2810"/>
    <n v="6"/>
    <n v="18"/>
    <n v="50580"/>
    <n v="2529"/>
    <x v="280"/>
    <n v="26.698799999999999"/>
    <n v="16860"/>
    <n v="31191"/>
    <n v="56.143799999999999"/>
  </r>
  <r>
    <x v="3"/>
    <x v="3"/>
    <x v="1"/>
    <s v="CUST_ID_052"/>
    <s v="PROD_ID_002"/>
    <x v="51"/>
    <s v="Medium"/>
    <d v="2021-11-23T00:00:00"/>
    <x v="6"/>
    <x v="3"/>
    <x v="1"/>
    <n v="1564"/>
    <n v="12"/>
    <n v="30"/>
    <n v="46920"/>
    <n v="2346"/>
    <x v="281"/>
    <n v="24.757000000000001"/>
    <n v="18768"/>
    <n v="25806"/>
    <n v="46.450800000000001"/>
  </r>
  <r>
    <x v="0"/>
    <x v="2"/>
    <x v="1"/>
    <s v="CUST_ID_115"/>
    <s v="PROD_ID_002"/>
    <x v="84"/>
    <s v="Medium"/>
    <d v="2021-05-16T00:00:00"/>
    <x v="10"/>
    <x v="2"/>
    <x v="1"/>
    <n v="3590"/>
    <n v="12"/>
    <n v="188"/>
    <n v="674920"/>
    <n v="33746"/>
    <x v="282"/>
    <n v="355.3"/>
    <n v="43080"/>
    <n v="598094"/>
    <n v="1076.5691999999999"/>
  </r>
  <r>
    <x v="0"/>
    <x v="2"/>
    <x v="1"/>
    <s v="CUST_ID_051"/>
    <s v="PROD_ID_002"/>
    <x v="50"/>
    <s v="Medium"/>
    <d v="2020-01-13T00:00:00"/>
    <x v="1"/>
    <x v="1"/>
    <x v="0"/>
    <n v="2862"/>
    <n v="12"/>
    <n v="188"/>
    <n v="538056"/>
    <n v="26902.800000000003"/>
    <x v="283"/>
    <n v="283.21875"/>
    <n v="34344"/>
    <n v="476809.2"/>
    <n v="858.25656000000004"/>
  </r>
  <r>
    <x v="2"/>
    <x v="2"/>
    <x v="1"/>
    <s v="CUST_ID_003"/>
    <s v="PROD_ID_002"/>
    <x v="2"/>
    <s v="Medium"/>
    <d v="2020-03-03T00:00:00"/>
    <x v="8"/>
    <x v="1"/>
    <x v="0"/>
    <n v="1928"/>
    <n v="12"/>
    <n v="450"/>
    <n v="867600"/>
    <n v="43380"/>
    <x v="284"/>
    <n v="457.995"/>
    <n v="23136"/>
    <n v="801084"/>
    <n v="1441.9512"/>
  </r>
  <r>
    <x v="3"/>
    <x v="2"/>
    <x v="1"/>
    <s v="CUST_ID_027"/>
    <s v="PROD_ID_002"/>
    <x v="26"/>
    <s v="Medium"/>
    <d v="2021-03-25T00:00:00"/>
    <x v="8"/>
    <x v="1"/>
    <x v="1"/>
    <n v="2792"/>
    <n v="12"/>
    <n v="11"/>
    <n v="30712"/>
    <n v="1535.6000000000001"/>
    <x v="285"/>
    <n v="15.474549999999999"/>
    <n v="33504"/>
    <n v="-4327.5999999999985"/>
    <n v="-7.7896799999999971"/>
  </r>
  <r>
    <x v="2"/>
    <x v="3"/>
    <x v="1"/>
    <s v="CUST_ID_116"/>
    <s v="PROD_ID_002"/>
    <x v="85"/>
    <s v="Medium"/>
    <d v="2020-10-07T00:00:00"/>
    <x v="9"/>
    <x v="3"/>
    <x v="0"/>
    <n v="1189"/>
    <n v="12"/>
    <n v="450"/>
    <n v="535050"/>
    <n v="26752.5"/>
    <x v="274"/>
    <n v="282.435"/>
    <n v="14268"/>
    <n v="494029.5"/>
    <n v="889.25310000000002"/>
  </r>
  <r>
    <x v="3"/>
    <x v="2"/>
    <x v="1"/>
    <s v="CUST_ID_027"/>
    <s v="PROD_ID_002"/>
    <x v="26"/>
    <s v="Medium"/>
    <d v="2021-11-21T00:00:00"/>
    <x v="6"/>
    <x v="3"/>
    <x v="1"/>
    <n v="722"/>
    <n v="12"/>
    <n v="525"/>
    <n v="379050"/>
    <n v="18952.5"/>
    <x v="286"/>
    <n v="200.16499999999999"/>
    <n v="8664"/>
    <n v="351433.5"/>
    <n v="632.58029999999997"/>
  </r>
  <r>
    <x v="1"/>
    <x v="1"/>
    <x v="1"/>
    <s v="CUST_ID_002"/>
    <s v="PROD_ID_002"/>
    <x v="1"/>
    <s v="Medium"/>
    <d v="2020-01-31T00:00:00"/>
    <x v="1"/>
    <x v="1"/>
    <x v="0"/>
    <n v="3144"/>
    <n v="12"/>
    <n v="23"/>
    <n v="72312"/>
    <n v="3615.6000000000004"/>
    <x v="287"/>
    <n v="37.335000000000001"/>
    <n v="37728"/>
    <n v="30968.399999999994"/>
    <n v="55.74311999999999"/>
  </r>
  <r>
    <x v="0"/>
    <x v="2"/>
    <x v="1"/>
    <s v="CUST_ID_115"/>
    <s v="PROD_ID_002"/>
    <x v="84"/>
    <s v="Medium"/>
    <d v="2020-07-17T00:00:00"/>
    <x v="3"/>
    <x v="0"/>
    <x v="0"/>
    <n v="1033"/>
    <n v="12"/>
    <n v="188"/>
    <n v="194204"/>
    <n v="9710.2000000000007"/>
    <x v="288"/>
    <n v="102.24375000000001"/>
    <n v="12396"/>
    <n v="172097.8"/>
    <n v="309.77603999999997"/>
  </r>
  <r>
    <x v="3"/>
    <x v="2"/>
    <x v="1"/>
    <s v="CUST_ID_027"/>
    <s v="PROD_ID_002"/>
    <x v="26"/>
    <s v="Medium"/>
    <d v="2020-01-20T00:00:00"/>
    <x v="1"/>
    <x v="1"/>
    <x v="0"/>
    <n v="3196"/>
    <n v="12"/>
    <n v="30"/>
    <n v="95880"/>
    <n v="4794"/>
    <x v="289"/>
    <n v="50.597000000000001"/>
    <n v="38352"/>
    <n v="52734"/>
    <n v="94.921199999999999"/>
  </r>
  <r>
    <x v="1"/>
    <x v="6"/>
    <x v="2"/>
    <s v="CUST_ID_135"/>
    <s v="PROD_ID_003"/>
    <x v="50"/>
    <s v="Medium"/>
    <d v="2020-10-03T00:00:00"/>
    <x v="9"/>
    <x v="3"/>
    <x v="0"/>
    <n v="666"/>
    <n v="148"/>
    <n v="23"/>
    <n v="15318"/>
    <n v="765.90000000000009"/>
    <x v="290"/>
    <n v="7.9087500000000004"/>
    <n v="98568"/>
    <n v="-84015.9"/>
    <n v="-151.22861999999998"/>
  </r>
  <r>
    <x v="1"/>
    <x v="2"/>
    <x v="2"/>
    <s v="CUST_ID_091"/>
    <s v="PROD_ID_003"/>
    <x v="84"/>
    <s v="Medium"/>
    <d v="2021-07-20T00:00:00"/>
    <x v="3"/>
    <x v="0"/>
    <x v="1"/>
    <n v="3433"/>
    <n v="148"/>
    <n v="23"/>
    <n v="78959"/>
    <n v="3947.9500000000003"/>
    <x v="291"/>
    <n v="40.76925"/>
    <n v="508084"/>
    <n v="-433072.95"/>
    <n v="-779.53130999999996"/>
  </r>
  <r>
    <x v="0"/>
    <x v="4"/>
    <x v="2"/>
    <s v="CUST_ID_029"/>
    <s v="PROD_ID_003"/>
    <x v="28"/>
    <s v="Medium"/>
    <d v="2021-10-07T00:00:00"/>
    <x v="9"/>
    <x v="3"/>
    <x v="1"/>
    <n v="968"/>
    <n v="148"/>
    <n v="188"/>
    <n v="181984"/>
    <n v="9099.2000000000007"/>
    <x v="292"/>
    <n v="95.831249999999997"/>
    <n v="143264"/>
    <n v="29620.799999999988"/>
    <n v="53.317439999999976"/>
  </r>
  <r>
    <x v="3"/>
    <x v="0"/>
    <x v="2"/>
    <s v="CUST_ID_041"/>
    <s v="PROD_ID_003"/>
    <x v="40"/>
    <s v="Medium"/>
    <d v="2021-01-23T00:00:00"/>
    <x v="1"/>
    <x v="1"/>
    <x v="1"/>
    <n v="722"/>
    <n v="148"/>
    <n v="525"/>
    <n v="379050"/>
    <n v="18952.5"/>
    <x v="286"/>
    <n v="200.16499999999999"/>
    <n v="106856"/>
    <n v="253241.5"/>
    <n v="455.8347"/>
  </r>
  <r>
    <x v="3"/>
    <x v="0"/>
    <x v="2"/>
    <s v="CUST_ID_041"/>
    <s v="PROD_ID_003"/>
    <x v="40"/>
    <s v="Medium"/>
    <d v="2020-12-10T00:00:00"/>
    <x v="7"/>
    <x v="3"/>
    <x v="0"/>
    <n v="3398"/>
    <n v="148"/>
    <n v="30"/>
    <n v="101940"/>
    <n v="5097"/>
    <x v="293"/>
    <n v="53.808"/>
    <n v="502904"/>
    <n v="-406061"/>
    <n v="-730.90980000000002"/>
  </r>
  <r>
    <x v="3"/>
    <x v="5"/>
    <x v="2"/>
    <s v="CUST_ID_054"/>
    <s v="PROD_ID_003"/>
    <x v="53"/>
    <s v="Medium"/>
    <d v="2021-11-13T00:00:00"/>
    <x v="6"/>
    <x v="3"/>
    <x v="1"/>
    <n v="1895"/>
    <n v="148"/>
    <n v="30"/>
    <n v="56850"/>
    <n v="2842.5"/>
    <x v="294"/>
    <n v="30.001000000000001"/>
    <n v="280460"/>
    <n v="-226452.5"/>
    <n v="-407.61449999999996"/>
  </r>
  <r>
    <x v="0"/>
    <x v="6"/>
    <x v="2"/>
    <s v="CUST_ID_015"/>
    <s v="PROD_ID_003"/>
    <x v="14"/>
    <s v="Medium"/>
    <d v="2021-04-27T00:00:00"/>
    <x v="5"/>
    <x v="2"/>
    <x v="1"/>
    <n v="1033"/>
    <n v="148"/>
    <n v="188"/>
    <n v="194204"/>
    <n v="9710.2000000000007"/>
    <x v="288"/>
    <n v="102.24375000000001"/>
    <n v="152884"/>
    <n v="31609.799999999988"/>
    <n v="56.897639999999974"/>
  </r>
  <r>
    <x v="2"/>
    <x v="5"/>
    <x v="2"/>
    <s v="CUST_ID_102"/>
    <s v="PROD_ID_003"/>
    <x v="90"/>
    <s v="Medium"/>
    <d v="2021-05-25T00:00:00"/>
    <x v="10"/>
    <x v="2"/>
    <x v="1"/>
    <n v="1500"/>
    <n v="148"/>
    <n v="450"/>
    <n v="675000"/>
    <n v="33750"/>
    <x v="295"/>
    <n v="356.25"/>
    <n v="222000"/>
    <n v="419250"/>
    <n v="754.65"/>
  </r>
  <r>
    <x v="3"/>
    <x v="0"/>
    <x v="3"/>
    <s v="CUST_ID_033"/>
    <s v="PROD_ID_004"/>
    <x v="32"/>
    <s v="Medium"/>
    <d v="2021-08-16T00:00:00"/>
    <x v="2"/>
    <x v="0"/>
    <x v="1"/>
    <n v="3196"/>
    <n v="308"/>
    <n v="30"/>
    <n v="95880"/>
    <n v="4794"/>
    <x v="289"/>
    <n v="50.597000000000001"/>
    <n v="984368"/>
    <n v="-893282"/>
    <n v="-1607.9076"/>
  </r>
  <r>
    <x v="3"/>
    <x v="0"/>
    <x v="3"/>
    <s v="CUST_ID_033"/>
    <s v="PROD_ID_004"/>
    <x v="32"/>
    <s v="Medium"/>
    <d v="2021-10-24T00:00:00"/>
    <x v="9"/>
    <x v="3"/>
    <x v="1"/>
    <n v="684"/>
    <n v="308"/>
    <n v="11"/>
    <n v="7524"/>
    <n v="376.20000000000005"/>
    <x v="276"/>
    <n v="3.7905000000000002"/>
    <n v="210672"/>
    <n v="-203524.2"/>
    <n v="-366.34356000000002"/>
  </r>
  <r>
    <x v="3"/>
    <x v="7"/>
    <x v="3"/>
    <s v="CUST_ID_008"/>
    <s v="PROD_ID_004"/>
    <x v="7"/>
    <s v="Medium"/>
    <d v="2021-03-27T00:00:00"/>
    <x v="8"/>
    <x v="1"/>
    <x v="1"/>
    <n v="2984"/>
    <n v="308"/>
    <n v="11"/>
    <n v="32824"/>
    <n v="1641.2"/>
    <x v="277"/>
    <n v="16.538550000000001"/>
    <n v="919072"/>
    <n v="-887889.2"/>
    <n v="-1598.2005599999998"/>
  </r>
  <r>
    <x v="3"/>
    <x v="2"/>
    <x v="5"/>
    <s v="CUST_ID_035"/>
    <s v="PROD_ID_006"/>
    <x v="34"/>
    <s v="Medium"/>
    <d v="2021-12-18T00:00:00"/>
    <x v="7"/>
    <x v="3"/>
    <x v="1"/>
    <n v="1620"/>
    <n v="320"/>
    <n v="525"/>
    <n v="850500"/>
    <n v="42525"/>
    <x v="296"/>
    <n v="448.875"/>
    <n v="518400"/>
    <n v="289575"/>
    <n v="521.23500000000001"/>
  </r>
  <r>
    <x v="3"/>
    <x v="6"/>
    <x v="5"/>
    <s v="CUST_ID_047"/>
    <s v="PROD_ID_006"/>
    <x v="46"/>
    <s v="Medium"/>
    <d v="2020-08-29T00:00:00"/>
    <x v="2"/>
    <x v="0"/>
    <x v="0"/>
    <n v="662"/>
    <n v="320"/>
    <n v="525"/>
    <n v="347550"/>
    <n v="17377.5"/>
    <x v="297"/>
    <n v="183.54"/>
    <n v="211840"/>
    <n v="118332.5"/>
    <n v="212.99850000000001"/>
  </r>
  <r>
    <x v="2"/>
    <x v="5"/>
    <x v="5"/>
    <s v="CUST_ID_126"/>
    <s v="PROD_ID_006"/>
    <x v="90"/>
    <s v="Medium"/>
    <d v="2021-08-15T00:00:00"/>
    <x v="2"/>
    <x v="0"/>
    <x v="1"/>
    <n v="1500"/>
    <n v="320"/>
    <n v="450"/>
    <n v="675000"/>
    <n v="33750"/>
    <x v="295"/>
    <n v="356.25"/>
    <n v="480000"/>
    <n v="161250"/>
    <n v="290.25"/>
  </r>
  <r>
    <x v="1"/>
    <x v="1"/>
    <x v="1"/>
    <s v="CUST_ID_002"/>
    <s v="PROD_ID_002"/>
    <x v="1"/>
    <s v="Medium"/>
    <d v="2021-03-19T00:00:00"/>
    <x v="8"/>
    <x v="1"/>
    <x v="1"/>
    <n v="4561"/>
    <n v="12"/>
    <n v="23"/>
    <n v="104903"/>
    <n v="6294.1799999999994"/>
    <x v="298"/>
    <n v="53.594100000000005"/>
    <n v="54732"/>
    <n v="43876.820000000007"/>
    <n v="78.978276000000008"/>
  </r>
  <r>
    <x v="3"/>
    <x v="0"/>
    <x v="4"/>
    <s v="CUST_ID_057"/>
    <s v="PROD_ID_005"/>
    <x v="56"/>
    <s v="Medium"/>
    <d v="2020-06-12T00:00:00"/>
    <x v="11"/>
    <x v="2"/>
    <x v="0"/>
    <n v="1341"/>
    <n v="4"/>
    <n v="30"/>
    <n v="40230"/>
    <n v="2413.7999999999997"/>
    <x v="299"/>
    <n v="21.009"/>
    <n v="5364"/>
    <n v="32452.199999999997"/>
    <n v="58.413959999999996"/>
  </r>
  <r>
    <x v="1"/>
    <x v="1"/>
    <x v="4"/>
    <s v="CUST_ID_090"/>
    <s v="PROD_ID_005"/>
    <x v="83"/>
    <s v="Medium"/>
    <d v="2020-07-27T00:00:00"/>
    <x v="3"/>
    <x v="0"/>
    <x v="0"/>
    <n v="3413"/>
    <n v="4"/>
    <n v="23"/>
    <n v="78499"/>
    <n v="4709.9399999999996"/>
    <x v="300"/>
    <n v="40.1004"/>
    <n v="13652"/>
    <n v="60137.06"/>
    <n v="108.246708"/>
  </r>
  <r>
    <x v="4"/>
    <x v="4"/>
    <x v="4"/>
    <s v="CUST_ID_077"/>
    <s v="PROD_ID_005"/>
    <x v="74"/>
    <s v="Medium"/>
    <d v="2020-11-23T00:00:00"/>
    <x v="6"/>
    <x v="3"/>
    <x v="0"/>
    <n v="674"/>
    <n v="4"/>
    <n v="18"/>
    <n v="12132"/>
    <n v="727.92"/>
    <x v="301"/>
    <n v="6.3393600000000001"/>
    <n v="2696"/>
    <n v="8708.08"/>
    <n v="15.674543999999999"/>
  </r>
  <r>
    <x v="1"/>
    <x v="7"/>
    <x v="4"/>
    <s v="CUST_ID_136"/>
    <s v="PROD_ID_005"/>
    <x v="81"/>
    <s v="Medium"/>
    <d v="2020-07-26T00:00:00"/>
    <x v="3"/>
    <x v="0"/>
    <x v="0"/>
    <n v="2436"/>
    <n v="4"/>
    <n v="23"/>
    <n v="56028"/>
    <n v="3361.68"/>
    <x v="302"/>
    <n v="28.623000000000001"/>
    <n v="9744"/>
    <n v="42922.32"/>
    <n v="77.260176000000001"/>
  </r>
  <r>
    <x v="3"/>
    <x v="0"/>
    <x v="0"/>
    <s v="CUST_ID_049"/>
    <s v="PROD_ID_001"/>
    <x v="48"/>
    <s v="Medium"/>
    <d v="2021-07-15T00:00:00"/>
    <x v="3"/>
    <x v="0"/>
    <x v="1"/>
    <n v="1176"/>
    <n v="6"/>
    <n v="525"/>
    <n v="617400"/>
    <n v="37044"/>
    <x v="303"/>
    <n v="322.42"/>
    <n v="7056"/>
    <n v="573300"/>
    <n v="1031.94"/>
  </r>
  <r>
    <x v="3"/>
    <x v="4"/>
    <x v="0"/>
    <s v="CUST_ID_037"/>
    <s v="PROD_ID_001"/>
    <x v="36"/>
    <s v="Medium"/>
    <d v="2021-05-17T00:00:00"/>
    <x v="10"/>
    <x v="2"/>
    <x v="1"/>
    <n v="1752"/>
    <n v="6"/>
    <n v="525"/>
    <n v="919800"/>
    <n v="55188"/>
    <x v="304"/>
    <n v="480.34"/>
    <n v="10512"/>
    <n v="854100"/>
    <n v="1537.3799999999999"/>
  </r>
  <r>
    <x v="4"/>
    <x v="6"/>
    <x v="0"/>
    <s v="CUST_ID_119"/>
    <s v="PROD_ID_001"/>
    <x v="87"/>
    <s v="Medium"/>
    <d v="2021-11-20T00:00:00"/>
    <x v="6"/>
    <x v="3"/>
    <x v="1"/>
    <n v="3268"/>
    <n v="6"/>
    <n v="18"/>
    <n v="58824"/>
    <n v="3529.44"/>
    <x v="305"/>
    <n v="30.715439999999997"/>
    <n v="19608"/>
    <n v="35686.559999999998"/>
    <n v="64.235807999999992"/>
  </r>
  <r>
    <x v="3"/>
    <x v="3"/>
    <x v="1"/>
    <s v="CUST_ID_052"/>
    <s v="PROD_ID_002"/>
    <x v="51"/>
    <s v="Medium"/>
    <d v="2020-03-01T00:00:00"/>
    <x v="8"/>
    <x v="1"/>
    <x v="0"/>
    <n v="1795"/>
    <n v="12"/>
    <n v="525"/>
    <n v="942375"/>
    <n v="56542.5"/>
    <x v="306"/>
    <n v="492.18400000000003"/>
    <n v="21540"/>
    <n v="864292.5"/>
    <n v="1555.7265"/>
  </r>
  <r>
    <x v="0"/>
    <x v="6"/>
    <x v="2"/>
    <s v="CUST_ID_007"/>
    <s v="PROD_ID_003"/>
    <x v="6"/>
    <s v="Medium"/>
    <d v="2021-11-11T00:00:00"/>
    <x v="6"/>
    <x v="3"/>
    <x v="1"/>
    <n v="1142"/>
    <n v="148"/>
    <n v="188"/>
    <n v="214696"/>
    <n v="12881.76"/>
    <x v="307"/>
    <n v="111.86"/>
    <n v="169016"/>
    <n v="32798.239999999991"/>
    <n v="59.036831999999983"/>
  </r>
  <r>
    <x v="0"/>
    <x v="6"/>
    <x v="2"/>
    <s v="CUST_ID_015"/>
    <s v="PROD_ID_003"/>
    <x v="14"/>
    <s v="Medium"/>
    <d v="2020-08-17T00:00:00"/>
    <x v="2"/>
    <x v="0"/>
    <x v="0"/>
    <n v="3306"/>
    <n v="148"/>
    <n v="188"/>
    <n v="621528"/>
    <n v="37291.68"/>
    <x v="308"/>
    <n v="323.71249999999998"/>
    <n v="489288"/>
    <n v="94948.319999999949"/>
    <n v="170.9069759999999"/>
  </r>
  <r>
    <x v="1"/>
    <x v="7"/>
    <x v="2"/>
    <s v="CUST_ID_096"/>
    <s v="PROD_ID_003"/>
    <x v="88"/>
    <s v="Medium"/>
    <d v="2021-08-24T00:00:00"/>
    <x v="2"/>
    <x v="0"/>
    <x v="1"/>
    <n v="1836"/>
    <n v="148"/>
    <n v="23"/>
    <n v="42228"/>
    <n v="2533.6799999999998"/>
    <x v="309"/>
    <n v="21.573"/>
    <n v="271728"/>
    <n v="-232033.68"/>
    <n v="-417.66062399999998"/>
  </r>
  <r>
    <x v="3"/>
    <x v="5"/>
    <x v="2"/>
    <s v="CUST_ID_054"/>
    <s v="PROD_ID_003"/>
    <x v="53"/>
    <s v="Medium"/>
    <d v="2020-05-14T00:00:00"/>
    <x v="10"/>
    <x v="2"/>
    <x v="0"/>
    <n v="1795"/>
    <n v="148"/>
    <n v="525"/>
    <n v="942375"/>
    <n v="56542.5"/>
    <x v="306"/>
    <n v="492.18400000000003"/>
    <n v="265660"/>
    <n v="620172.5"/>
    <n v="1116.3105"/>
  </r>
  <r>
    <x v="3"/>
    <x v="6"/>
    <x v="2"/>
    <s v="CUST_ID_031"/>
    <s v="PROD_ID_003"/>
    <x v="30"/>
    <s v="Medium"/>
    <d v="2021-01-11T00:00:00"/>
    <x v="1"/>
    <x v="1"/>
    <x v="1"/>
    <n v="1798"/>
    <n v="148"/>
    <n v="11"/>
    <n v="19778"/>
    <n v="1186.68"/>
    <x v="310"/>
    <n v="9.85684"/>
    <n v="266104"/>
    <n v="-247512.68"/>
    <n v="-445.52282399999996"/>
  </r>
  <r>
    <x v="1"/>
    <x v="0"/>
    <x v="3"/>
    <s v="CUST_ID_137"/>
    <s v="PROD_ID_004"/>
    <x v="82"/>
    <s v="Medium"/>
    <d v="2020-11-21T00:00:00"/>
    <x v="6"/>
    <x v="3"/>
    <x v="0"/>
    <n v="3413"/>
    <n v="308"/>
    <n v="23"/>
    <n v="78499"/>
    <n v="4709.9399999999996"/>
    <x v="300"/>
    <n v="40.1004"/>
    <n v="1051204"/>
    <n v="-977414.94"/>
    <n v="-1759.3468919999998"/>
  </r>
  <r>
    <x v="3"/>
    <x v="1"/>
    <x v="3"/>
    <s v="CUST_ID_034"/>
    <s v="PROD_ID_004"/>
    <x v="33"/>
    <s v="Medium"/>
    <d v="2020-03-15T00:00:00"/>
    <x v="8"/>
    <x v="1"/>
    <x v="0"/>
    <n v="1798"/>
    <n v="308"/>
    <n v="11"/>
    <n v="19778"/>
    <n v="1186.68"/>
    <x v="310"/>
    <n v="9.85684"/>
    <n v="553784"/>
    <n v="-535192.68000000005"/>
    <n v="-963.34682400000008"/>
  </r>
  <r>
    <x v="0"/>
    <x v="1"/>
    <x v="5"/>
    <s v="CUST_ID_138"/>
    <s v="PROD_ID_006"/>
    <x v="83"/>
    <s v="Medium"/>
    <d v="2021-06-28T00:00:00"/>
    <x v="11"/>
    <x v="2"/>
    <x v="1"/>
    <n v="2385"/>
    <n v="320"/>
    <n v="188"/>
    <n v="448380"/>
    <n v="26902.799999999999"/>
    <x v="311"/>
    <n v="233.53125"/>
    <n v="763200"/>
    <n v="-341722.8"/>
    <n v="-615.10104000000001"/>
  </r>
  <r>
    <x v="3"/>
    <x v="4"/>
    <x v="5"/>
    <s v="CUST_ID_093"/>
    <s v="PROD_ID_006"/>
    <x v="56"/>
    <s v="Medium"/>
    <d v="2020-11-18T00:00:00"/>
    <x v="6"/>
    <x v="3"/>
    <x v="0"/>
    <n v="2015"/>
    <n v="320"/>
    <n v="525"/>
    <n v="1057875"/>
    <n v="63472.5"/>
    <x v="312"/>
    <n v="552.39099999999996"/>
    <n v="644800"/>
    <n v="349602.5"/>
    <n v="629.28449999999998"/>
  </r>
  <r>
    <x v="1"/>
    <x v="1"/>
    <x v="1"/>
    <s v="CUST_ID_026"/>
    <s v="PROD_ID_002"/>
    <x v="25"/>
    <s v="Medium"/>
    <d v="2021-10-20T00:00:00"/>
    <x v="9"/>
    <x v="3"/>
    <x v="1"/>
    <n v="2638"/>
    <n v="12"/>
    <n v="23"/>
    <n v="60674"/>
    <n v="3640.4400000000005"/>
    <x v="313"/>
    <n v="30.991799999999998"/>
    <n v="31656"/>
    <n v="25377.559999999998"/>
    <n v="45.679607999999995"/>
  </r>
  <r>
    <x v="1"/>
    <x v="5"/>
    <x v="1"/>
    <s v="CUST_ID_038"/>
    <s v="PROD_ID_002"/>
    <x v="37"/>
    <s v="Medium"/>
    <d v="2021-03-16T00:00:00"/>
    <x v="8"/>
    <x v="1"/>
    <x v="1"/>
    <n v="2092"/>
    <n v="12"/>
    <n v="23"/>
    <n v="48116"/>
    <n v="2886.96"/>
    <x v="314"/>
    <n v="24.5763"/>
    <n v="25104"/>
    <n v="20125.04"/>
    <n v="36.225071999999997"/>
  </r>
  <r>
    <x v="1"/>
    <x v="1"/>
    <x v="1"/>
    <s v="CUST_ID_026"/>
    <s v="PROD_ID_002"/>
    <x v="25"/>
    <s v="Medium"/>
    <d v="2020-11-18T00:00:00"/>
    <x v="6"/>
    <x v="3"/>
    <x v="0"/>
    <n v="1384"/>
    <n v="12"/>
    <n v="23"/>
    <n v="31832"/>
    <n v="1909.92"/>
    <x v="315"/>
    <n v="16.257300000000001"/>
    <n v="16608"/>
    <n v="13314.080000000002"/>
    <n v="23.965344000000002"/>
  </r>
  <r>
    <x v="3"/>
    <x v="3"/>
    <x v="2"/>
    <s v="CUST_ID_028"/>
    <s v="PROD_ID_003"/>
    <x v="27"/>
    <s v="Medium"/>
    <d v="2021-11-30T00:00:00"/>
    <x v="6"/>
    <x v="3"/>
    <x v="1"/>
    <n v="1201"/>
    <n v="148"/>
    <n v="30"/>
    <n v="36030"/>
    <n v="2161.8000000000002"/>
    <x v="316"/>
    <n v="18.8188"/>
    <n v="177748"/>
    <n v="-143879.79999999999"/>
    <n v="-258.98363999999998"/>
  </r>
  <r>
    <x v="3"/>
    <x v="6"/>
    <x v="2"/>
    <s v="CUST_ID_031"/>
    <s v="PROD_ID_003"/>
    <x v="30"/>
    <s v="Medium"/>
    <d v="2020-06-17T00:00:00"/>
    <x v="11"/>
    <x v="2"/>
    <x v="0"/>
    <n v="1600"/>
    <n v="148"/>
    <n v="11"/>
    <n v="17600"/>
    <n v="1056"/>
    <x v="317"/>
    <n v="8.771139999999999"/>
    <n v="236800"/>
    <n v="-220256"/>
    <n v="-396.46080000000001"/>
  </r>
  <r>
    <x v="1"/>
    <x v="2"/>
    <x v="3"/>
    <s v="CUST_ID_139"/>
    <s v="PROD_ID_004"/>
    <x v="84"/>
    <s v="Medium"/>
    <d v="2021-10-13T00:00:00"/>
    <x v="9"/>
    <x v="3"/>
    <x v="1"/>
    <n v="1384"/>
    <n v="308"/>
    <n v="23"/>
    <n v="31832"/>
    <n v="1909.92"/>
    <x v="315"/>
    <n v="16.257300000000001"/>
    <n v="426272"/>
    <n v="-396349.92"/>
    <n v="-713.42985599999997"/>
  </r>
  <r>
    <x v="4"/>
    <x v="4"/>
    <x v="4"/>
    <s v="CUST_ID_077"/>
    <s v="PROD_ID_005"/>
    <x v="74"/>
    <s v="Medium"/>
    <d v="2021-08-20T00:00:00"/>
    <x v="2"/>
    <x v="0"/>
    <x v="1"/>
    <n v="872"/>
    <n v="4"/>
    <n v="18"/>
    <n v="15696"/>
    <n v="1098.7199999999998"/>
    <x v="318"/>
    <n v="8.1133199999999999"/>
    <n v="3488"/>
    <n v="11109.28"/>
    <n v="19.996704000000001"/>
  </r>
  <r>
    <x v="4"/>
    <x v="3"/>
    <x v="4"/>
    <s v="CUST_ID_036"/>
    <s v="PROD_ID_005"/>
    <x v="35"/>
    <s v="Medium"/>
    <d v="2020-04-24T00:00:00"/>
    <x v="5"/>
    <x v="2"/>
    <x v="0"/>
    <n v="2261"/>
    <n v="4"/>
    <n v="18"/>
    <n v="40698"/>
    <n v="2848.8599999999997"/>
    <x v="319"/>
    <n v="21.02544"/>
    <n v="9044"/>
    <n v="28805.14"/>
    <n v="51.849252"/>
  </r>
  <r>
    <x v="4"/>
    <x v="7"/>
    <x v="0"/>
    <s v="CUST_ID_120"/>
    <s v="PROD_ID_001"/>
    <x v="69"/>
    <s v="Medium"/>
    <d v="2021-03-08T00:00:00"/>
    <x v="8"/>
    <x v="1"/>
    <x v="1"/>
    <n v="2808"/>
    <n v="6"/>
    <n v="18"/>
    <n v="50544"/>
    <n v="3538.0799999999995"/>
    <x v="320"/>
    <n v="26.1144"/>
    <n v="16848"/>
    <n v="30157.919999999998"/>
    <n v="54.284255999999992"/>
  </r>
  <r>
    <x v="4"/>
    <x v="0"/>
    <x v="0"/>
    <s v="CUST_ID_129"/>
    <s v="PROD_ID_001"/>
    <x v="38"/>
    <s v="Medium"/>
    <d v="2020-08-25T00:00:00"/>
    <x v="2"/>
    <x v="0"/>
    <x v="0"/>
    <n v="2810"/>
    <n v="6"/>
    <n v="18"/>
    <n v="50580"/>
    <n v="3540.5999999999995"/>
    <x v="321"/>
    <n v="26.13672"/>
    <n v="16860"/>
    <n v="30179.4"/>
    <n v="54.322920000000003"/>
  </r>
  <r>
    <x v="1"/>
    <x v="3"/>
    <x v="2"/>
    <s v="CUST_ID_140"/>
    <s v="PROD_ID_003"/>
    <x v="85"/>
    <s v="Medium"/>
    <d v="2020-04-18T00:00:00"/>
    <x v="5"/>
    <x v="2"/>
    <x v="0"/>
    <n v="1514"/>
    <n v="148"/>
    <n v="23"/>
    <n v="34822"/>
    <n v="2437.54"/>
    <x v="322"/>
    <n v="17.604900000000001"/>
    <n v="224072"/>
    <n v="-191687.54"/>
    <n v="-345.03757200000001"/>
  </r>
  <r>
    <x v="3"/>
    <x v="7"/>
    <x v="2"/>
    <s v="CUST_ID_016"/>
    <s v="PROD_ID_003"/>
    <x v="15"/>
    <s v="Medium"/>
    <d v="2020-05-08T00:00:00"/>
    <x v="10"/>
    <x v="2"/>
    <x v="0"/>
    <n v="1362"/>
    <n v="148"/>
    <n v="11"/>
    <n v="14982"/>
    <n v="1048.7399999999998"/>
    <x v="323"/>
    <n v="7.3888500000000006"/>
    <n v="201576"/>
    <n v="-187642.74"/>
    <n v="-337.75693199999995"/>
  </r>
  <r>
    <x v="3"/>
    <x v="0"/>
    <x v="2"/>
    <s v="CUST_ID_041"/>
    <s v="PROD_ID_003"/>
    <x v="40"/>
    <s v="Medium"/>
    <d v="2021-08-04T00:00:00"/>
    <x v="2"/>
    <x v="0"/>
    <x v="1"/>
    <n v="656"/>
    <n v="148"/>
    <n v="11"/>
    <n v="7216"/>
    <n v="505.11999999999995"/>
    <x v="324"/>
    <n v="3.5609700000000002"/>
    <n v="97088"/>
    <n v="-90377.12"/>
    <n v="-162.67881599999998"/>
  </r>
  <r>
    <x v="3"/>
    <x v="7"/>
    <x v="2"/>
    <s v="CUST_ID_016"/>
    <s v="PROD_ID_003"/>
    <x v="15"/>
    <s v="Medium"/>
    <d v="2020-04-05T00:00:00"/>
    <x v="5"/>
    <x v="2"/>
    <x v="0"/>
    <n v="1898"/>
    <n v="148"/>
    <n v="11"/>
    <n v="20878"/>
    <n v="1461.4599999999998"/>
    <x v="325"/>
    <n v="10.298819999999999"/>
    <n v="280904"/>
    <n v="-261487.46"/>
    <n v="-470.67742799999996"/>
  </r>
  <r>
    <x v="4"/>
    <x v="0"/>
    <x v="3"/>
    <s v="CUST_ID_081"/>
    <s v="PROD_ID_004"/>
    <x v="76"/>
    <s v="Medium"/>
    <d v="2021-02-25T00:00:00"/>
    <x v="4"/>
    <x v="1"/>
    <x v="1"/>
    <n v="2086"/>
    <n v="308"/>
    <n v="18"/>
    <n v="37548"/>
    <n v="2628.3599999999997"/>
    <x v="326"/>
    <n v="19.40166"/>
    <n v="642488"/>
    <n v="-607568.36"/>
    <n v="-1093.6230479999999"/>
  </r>
  <r>
    <x v="3"/>
    <x v="6"/>
    <x v="3"/>
    <s v="CUST_ID_055"/>
    <s v="PROD_ID_004"/>
    <x v="54"/>
    <s v="Medium"/>
    <d v="2021-01-01T00:00:00"/>
    <x v="1"/>
    <x v="1"/>
    <x v="1"/>
    <n v="1898"/>
    <n v="308"/>
    <n v="11"/>
    <n v="20878"/>
    <n v="1461.4599999999998"/>
    <x v="325"/>
    <n v="10.298819999999999"/>
    <n v="584584"/>
    <n v="-565167.46"/>
    <n v="-1017.3014279999999"/>
  </r>
  <r>
    <x v="3"/>
    <x v="6"/>
    <x v="5"/>
    <s v="CUST_ID_047"/>
    <s v="PROD_ID_006"/>
    <x v="46"/>
    <s v="Medium"/>
    <d v="2020-06-04T00:00:00"/>
    <x v="11"/>
    <x v="2"/>
    <x v="0"/>
    <n v="1362"/>
    <n v="320"/>
    <n v="11"/>
    <n v="14982"/>
    <n v="1048.7399999999998"/>
    <x v="323"/>
    <n v="7.3888500000000006"/>
    <n v="435840"/>
    <n v="-421906.74"/>
    <n v="-759.43213199999991"/>
  </r>
  <r>
    <x v="3"/>
    <x v="0"/>
    <x v="4"/>
    <s v="CUST_ID_057"/>
    <s v="PROD_ID_005"/>
    <x v="56"/>
    <s v="Medium"/>
    <d v="2021-05-03T00:00:00"/>
    <x v="10"/>
    <x v="2"/>
    <x v="1"/>
    <n v="2113"/>
    <n v="4"/>
    <n v="525"/>
    <n v="1109325"/>
    <n v="77652.750000000015"/>
    <x v="327"/>
    <n v="573.20550000000003"/>
    <n v="8452"/>
    <n v="1023220.25"/>
    <n v="1841.79645"/>
  </r>
  <r>
    <x v="2"/>
    <x v="4"/>
    <x v="4"/>
    <s v="CUST_ID_141"/>
    <s v="PROD_ID_005"/>
    <x v="56"/>
    <s v="Medium"/>
    <d v="2021-08-14T00:00:00"/>
    <x v="2"/>
    <x v="0"/>
    <x v="1"/>
    <n v="538"/>
    <n v="4"/>
    <n v="450"/>
    <n v="242100"/>
    <n v="16947"/>
    <x v="328"/>
    <n v="124.992"/>
    <n v="2152"/>
    <n v="223001"/>
    <n v="401.40179999999998"/>
  </r>
  <r>
    <x v="2"/>
    <x v="4"/>
    <x v="4"/>
    <s v="CUST_ID_141"/>
    <s v="PROD_ID_005"/>
    <x v="56"/>
    <s v="Medium"/>
    <d v="2020-07-24T00:00:00"/>
    <x v="3"/>
    <x v="0"/>
    <x v="0"/>
    <n v="2617"/>
    <n v="4"/>
    <n v="450"/>
    <n v="1177650"/>
    <n v="82435.500000000015"/>
    <x v="329"/>
    <n v="608.49900000000002"/>
    <n v="10468"/>
    <n v="1084746.5"/>
    <n v="1952.5436999999999"/>
  </r>
  <r>
    <x v="3"/>
    <x v="2"/>
    <x v="0"/>
    <s v="CUST_ID_059"/>
    <s v="PROD_ID_001"/>
    <x v="58"/>
    <s v="Medium"/>
    <d v="2020-09-24T00:00:00"/>
    <x v="0"/>
    <x v="0"/>
    <x v="0"/>
    <n v="2371"/>
    <n v="6"/>
    <n v="30"/>
    <n v="71130"/>
    <n v="4979.1000000000004"/>
    <x v="330"/>
    <n v="36.753599999999999"/>
    <n v="14226"/>
    <n v="51924.899999999994"/>
    <n v="93.464819999999989"/>
  </r>
  <r>
    <x v="2"/>
    <x v="5"/>
    <x v="0"/>
    <s v="CUST_ID_078"/>
    <s v="PROD_ID_001"/>
    <x v="75"/>
    <s v="Medium"/>
    <d v="2021-07-26T00:00:00"/>
    <x v="3"/>
    <x v="0"/>
    <x v="1"/>
    <n v="2617"/>
    <n v="6"/>
    <n v="450"/>
    <n v="1177650"/>
    <n v="82435.500000000015"/>
    <x v="329"/>
    <n v="608.49900000000002"/>
    <n v="15702"/>
    <n v="1079512.5"/>
    <n v="1943.1224999999999"/>
  </r>
  <r>
    <x v="2"/>
    <x v="5"/>
    <x v="1"/>
    <s v="CUST_ID_070"/>
    <s v="PROD_ID_002"/>
    <x v="67"/>
    <s v="Medium"/>
    <d v="2021-05-17T00:00:00"/>
    <x v="10"/>
    <x v="2"/>
    <x v="1"/>
    <n v="2042"/>
    <n v="12"/>
    <n v="450"/>
    <n v="918900"/>
    <n v="64323.000000000007"/>
    <x v="331"/>
    <n v="474.858"/>
    <n v="24504"/>
    <n v="830073"/>
    <n v="1494.1314"/>
  </r>
  <r>
    <x v="2"/>
    <x v="0"/>
    <x v="1"/>
    <s v="CUST_ID_121"/>
    <s v="PROD_ID_002"/>
    <x v="70"/>
    <s v="Medium"/>
    <d v="2021-06-04T00:00:00"/>
    <x v="11"/>
    <x v="2"/>
    <x v="1"/>
    <n v="538"/>
    <n v="12"/>
    <n v="450"/>
    <n v="242100"/>
    <n v="16947"/>
    <x v="328"/>
    <n v="124.992"/>
    <n v="6456"/>
    <n v="218697"/>
    <n v="393.65460000000002"/>
  </r>
  <r>
    <x v="0"/>
    <x v="6"/>
    <x v="1"/>
    <s v="CUST_ID_023"/>
    <s v="PROD_ID_002"/>
    <x v="22"/>
    <s v="Medium"/>
    <d v="2020-10-09T00:00:00"/>
    <x v="9"/>
    <x v="3"/>
    <x v="0"/>
    <n v="4216"/>
    <n v="12"/>
    <n v="188"/>
    <n v="792608"/>
    <n v="55482.560000000005"/>
    <x v="332"/>
    <n v="408.38625000000002"/>
    <n v="50592"/>
    <n v="686533.44"/>
    <n v="1235.760192"/>
  </r>
  <r>
    <x v="1"/>
    <x v="1"/>
    <x v="1"/>
    <s v="CUST_ID_002"/>
    <s v="PROD_ID_002"/>
    <x v="1"/>
    <s v="Medium"/>
    <d v="2020-04-28T00:00:00"/>
    <x v="5"/>
    <x v="2"/>
    <x v="0"/>
    <n v="2521"/>
    <n v="12"/>
    <n v="23"/>
    <n v="57983"/>
    <n v="4058.8100000000004"/>
    <x v="333"/>
    <n v="29.308949999999999"/>
    <n v="30252"/>
    <n v="23672.190000000002"/>
    <n v="42.609942000000004"/>
  </r>
  <r>
    <x v="3"/>
    <x v="3"/>
    <x v="1"/>
    <s v="CUST_ID_052"/>
    <s v="PROD_ID_002"/>
    <x v="51"/>
    <s v="Medium"/>
    <d v="2020-03-06T00:00:00"/>
    <x v="8"/>
    <x v="1"/>
    <x v="0"/>
    <n v="1842"/>
    <n v="12"/>
    <n v="30"/>
    <n v="55260"/>
    <n v="3868.2000000000003"/>
    <x v="334"/>
    <n v="28.550999999999998"/>
    <n v="22104"/>
    <n v="29287.800000000003"/>
    <n v="52.718040000000002"/>
  </r>
  <r>
    <x v="2"/>
    <x v="4"/>
    <x v="2"/>
    <s v="CUST_ID_061"/>
    <s v="PROD_ID_003"/>
    <x v="59"/>
    <s v="Medium"/>
    <d v="2021-11-06T00:00:00"/>
    <x v="6"/>
    <x v="3"/>
    <x v="1"/>
    <n v="1991"/>
    <n v="148"/>
    <n v="450"/>
    <n v="895950"/>
    <n v="62716.500000000007"/>
    <x v="335"/>
    <n v="462.86099999999999"/>
    <n v="294668"/>
    <n v="538565.5"/>
    <n v="969.41789999999992"/>
  </r>
  <r>
    <x v="3"/>
    <x v="6"/>
    <x v="2"/>
    <s v="CUST_ID_031"/>
    <s v="PROD_ID_003"/>
    <x v="30"/>
    <s v="Medium"/>
    <d v="2020-12-20T00:00:00"/>
    <x v="7"/>
    <x v="3"/>
    <x v="0"/>
    <n v="731"/>
    <n v="148"/>
    <n v="30"/>
    <n v="21930"/>
    <n v="1535.1000000000001"/>
    <x v="336"/>
    <n v="11.327399999999999"/>
    <n v="108188"/>
    <n v="-87793.1"/>
    <n v="-158.02758"/>
  </r>
  <r>
    <x v="0"/>
    <x v="4"/>
    <x v="2"/>
    <s v="CUST_ID_029"/>
    <s v="PROD_ID_003"/>
    <x v="28"/>
    <s v="Medium"/>
    <d v="2020-04-12T00:00:00"/>
    <x v="5"/>
    <x v="2"/>
    <x v="0"/>
    <n v="2504"/>
    <n v="148"/>
    <n v="188"/>
    <n v="470752"/>
    <n v="32952.640000000007"/>
    <x v="337"/>
    <n v="242.61375000000001"/>
    <n v="370592"/>
    <n v="67207.359999999986"/>
    <n v="120.97324799999997"/>
  </r>
  <r>
    <x v="3"/>
    <x v="5"/>
    <x v="2"/>
    <s v="CUST_ID_054"/>
    <s v="PROD_ID_003"/>
    <x v="53"/>
    <s v="Medium"/>
    <d v="2021-08-03T00:00:00"/>
    <x v="2"/>
    <x v="0"/>
    <x v="1"/>
    <n v="2371"/>
    <n v="148"/>
    <n v="30"/>
    <n v="71130"/>
    <n v="4979.1000000000004"/>
    <x v="330"/>
    <n v="36.753599999999999"/>
    <n v="350908"/>
    <n v="-284757.09999999998"/>
    <n v="-512.56277999999998"/>
  </r>
  <r>
    <x v="2"/>
    <x v="5"/>
    <x v="2"/>
    <s v="CUST_ID_086"/>
    <s v="PROD_ID_003"/>
    <x v="49"/>
    <s v="Medium"/>
    <d v="2020-07-29T00:00:00"/>
    <x v="3"/>
    <x v="0"/>
    <x v="0"/>
    <n v="1646"/>
    <n v="148"/>
    <n v="450"/>
    <n v="740700"/>
    <n v="51849.000000000007"/>
    <x v="338"/>
    <n v="382.78800000000001"/>
    <n v="243608"/>
    <n v="445243"/>
    <n v="801.43740000000003"/>
  </r>
  <r>
    <x v="4"/>
    <x v="5"/>
    <x v="3"/>
    <s v="CUST_ID_142"/>
    <s v="PROD_ID_004"/>
    <x v="86"/>
    <s v="Medium"/>
    <d v="2021-09-24T00:00:00"/>
    <x v="0"/>
    <x v="0"/>
    <x v="1"/>
    <n v="3893"/>
    <n v="308"/>
    <n v="18"/>
    <n v="70074"/>
    <n v="4905.18"/>
    <x v="339"/>
    <n v="36.208620000000003"/>
    <n v="1199044"/>
    <n v="-1133875.18"/>
    <n v="-2040.9753239999998"/>
  </r>
  <r>
    <x v="2"/>
    <x v="5"/>
    <x v="3"/>
    <s v="CUST_ID_062"/>
    <s v="PROD_ID_004"/>
    <x v="60"/>
    <s v="Medium"/>
    <d v="2021-04-14T00:00:00"/>
    <x v="5"/>
    <x v="2"/>
    <x v="1"/>
    <n v="1151"/>
    <n v="308"/>
    <n v="450"/>
    <n v="517950"/>
    <n v="36256.5"/>
    <x v="340"/>
    <n v="267.56099999999998"/>
    <n v="354508"/>
    <n v="127185.5"/>
    <n v="228.93389999999999"/>
  </r>
  <r>
    <x v="2"/>
    <x v="0"/>
    <x v="3"/>
    <s v="CUST_ID_017"/>
    <s v="PROD_ID_004"/>
    <x v="16"/>
    <s v="Medium"/>
    <d v="2020-04-10T00:00:00"/>
    <x v="5"/>
    <x v="2"/>
    <x v="0"/>
    <n v="3296"/>
    <n v="308"/>
    <n v="450"/>
    <n v="1483200"/>
    <n v="103824.00000000001"/>
    <x v="341"/>
    <n v="766.41300000000001"/>
    <n v="1015168"/>
    <n v="364208"/>
    <n v="655.57439999999997"/>
  </r>
  <r>
    <x v="0"/>
    <x v="6"/>
    <x v="5"/>
    <s v="CUST_ID_143"/>
    <s v="PROD_ID_006"/>
    <x v="87"/>
    <s v="Medium"/>
    <d v="2021-06-03T00:00:00"/>
    <x v="11"/>
    <x v="2"/>
    <x v="1"/>
    <n v="1974"/>
    <n v="320"/>
    <n v="188"/>
    <n v="371112"/>
    <n v="25977.840000000004"/>
    <x v="342"/>
    <n v="191.23124999999999"/>
    <n v="631680"/>
    <n v="-286545.84000000003"/>
    <n v="-515.782512"/>
  </r>
  <r>
    <x v="3"/>
    <x v="0"/>
    <x v="5"/>
    <s v="CUST_ID_065"/>
    <s v="PROD_ID_006"/>
    <x v="63"/>
    <s v="Medium"/>
    <d v="2021-06-30T00:00:00"/>
    <x v="11"/>
    <x v="2"/>
    <x v="1"/>
    <n v="3451"/>
    <n v="320"/>
    <n v="525"/>
    <n v="1811775"/>
    <n v="126824.25000000001"/>
    <x v="343"/>
    <n v="936.13800000000003"/>
    <n v="1104320"/>
    <n v="580630.75"/>
    <n v="1045.13535"/>
  </r>
  <r>
    <x v="3"/>
    <x v="6"/>
    <x v="5"/>
    <s v="CUST_ID_047"/>
    <s v="PROD_ID_006"/>
    <x v="46"/>
    <s v="Medium"/>
    <d v="2020-12-04T00:00:00"/>
    <x v="7"/>
    <x v="3"/>
    <x v="0"/>
    <n v="1342"/>
    <n v="320"/>
    <n v="30"/>
    <n v="40260"/>
    <n v="2818.2000000000003"/>
    <x v="344"/>
    <n v="20.794799999999999"/>
    <n v="429440"/>
    <n v="-391998.2"/>
    <n v="-705.59676000000002"/>
  </r>
  <r>
    <x v="2"/>
    <x v="7"/>
    <x v="5"/>
    <s v="CUST_ID_144"/>
    <s v="PROD_ID_006"/>
    <x v="69"/>
    <s v="Medium"/>
    <d v="2021-09-20T00:00:00"/>
    <x v="0"/>
    <x v="0"/>
    <x v="1"/>
    <n v="1646"/>
    <n v="320"/>
    <n v="450"/>
    <n v="740700"/>
    <n v="51849.000000000007"/>
    <x v="338"/>
    <n v="382.78800000000001"/>
    <n v="526720"/>
    <n v="162131"/>
    <n v="291.83580000000001"/>
  </r>
  <r>
    <x v="3"/>
    <x v="2"/>
    <x v="0"/>
    <s v="CUST_ID_043"/>
    <s v="PROD_ID_001"/>
    <x v="42"/>
    <s v="Medium"/>
    <d v="2021-10-20T00:00:00"/>
    <x v="9"/>
    <x v="3"/>
    <x v="1"/>
    <n v="586"/>
    <n v="6"/>
    <n v="11"/>
    <n v="6446"/>
    <n v="515.67999999999995"/>
    <x v="345"/>
    <n v="3.1427200000000002"/>
    <n v="3516"/>
    <n v="2414.3199999999997"/>
    <n v="4.345775999999999"/>
  </r>
  <r>
    <x v="3"/>
    <x v="2"/>
    <x v="0"/>
    <s v="CUST_ID_099"/>
    <s v="PROD_ID_001"/>
    <x v="72"/>
    <s v="Medium"/>
    <d v="2020-10-12T00:00:00"/>
    <x v="9"/>
    <x v="3"/>
    <x v="0"/>
    <n v="1538"/>
    <n v="6"/>
    <n v="30"/>
    <n v="46140"/>
    <n v="3691.1999999999994"/>
    <x v="346"/>
    <n v="23.588799999999999"/>
    <n v="9228"/>
    <n v="33220.800000000003"/>
    <n v="59.797440000000002"/>
  </r>
  <r>
    <x v="3"/>
    <x v="3"/>
    <x v="1"/>
    <s v="CUST_ID_004"/>
    <s v="PROD_ID_002"/>
    <x v="3"/>
    <s v="Medium"/>
    <d v="2020-10-21T00:00:00"/>
    <x v="9"/>
    <x v="3"/>
    <x v="0"/>
    <n v="308"/>
    <n v="12"/>
    <n v="11"/>
    <n v="3388"/>
    <n v="271.03999999999996"/>
    <x v="347"/>
    <n v="1.6550799999999999"/>
    <n v="3696"/>
    <n v="-579.04"/>
    <n v="-1.0422719999999999"/>
  </r>
  <r>
    <x v="3"/>
    <x v="7"/>
    <x v="5"/>
    <s v="CUST_ID_064"/>
    <s v="PROD_ID_006"/>
    <x v="62"/>
    <s v="Medium"/>
    <d v="2020-10-02T00:00:00"/>
    <x v="9"/>
    <x v="3"/>
    <x v="0"/>
    <n v="1538"/>
    <n v="320"/>
    <n v="30"/>
    <n v="46140"/>
    <n v="3691.1999999999994"/>
    <x v="346"/>
    <n v="23.588799999999999"/>
    <n v="492160"/>
    <n v="-449711.2"/>
    <n v="-809.48015999999996"/>
  </r>
  <r>
    <x v="0"/>
    <x v="3"/>
    <x v="4"/>
    <s v="CUST_ID_100"/>
    <s v="PROD_ID_005"/>
    <x v="73"/>
    <s v="Medium"/>
    <d v="2020-05-31T00:00:00"/>
    <x v="10"/>
    <x v="2"/>
    <x v="0"/>
    <n v="1848"/>
    <n v="4"/>
    <n v="188"/>
    <n v="347424"/>
    <n v="27793.920000000002"/>
    <x v="348"/>
    <n v="177.1"/>
    <n v="7392"/>
    <n v="312238.08000000002"/>
    <n v="562.02854400000001"/>
  </r>
  <r>
    <x v="1"/>
    <x v="1"/>
    <x v="4"/>
    <s v="CUST_ID_106"/>
    <s v="PROD_ID_005"/>
    <x v="57"/>
    <s v="Medium"/>
    <d v="2021-01-06T00:00:00"/>
    <x v="1"/>
    <x v="1"/>
    <x v="1"/>
    <n v="588"/>
    <n v="4"/>
    <n v="23"/>
    <n v="13524"/>
    <n v="1081.92"/>
    <x v="349"/>
    <n v="6.7619999999999996"/>
    <n v="2352"/>
    <n v="10090.08"/>
    <n v="18.162143999999998"/>
  </r>
  <r>
    <x v="3"/>
    <x v="1"/>
    <x v="4"/>
    <s v="CUST_ID_066"/>
    <s v="PROD_ID_005"/>
    <x v="64"/>
    <s v="Medium"/>
    <d v="2020-01-26T00:00:00"/>
    <x v="1"/>
    <x v="1"/>
    <x v="0"/>
    <n v="1634"/>
    <n v="4"/>
    <n v="525"/>
    <n v="857850"/>
    <n v="68628"/>
    <x v="350"/>
    <n v="438.56400000000002"/>
    <n v="6536"/>
    <n v="782686"/>
    <n v="1408.8347999999999"/>
  </r>
  <r>
    <x v="1"/>
    <x v="0"/>
    <x v="0"/>
    <s v="CUST_ID_145"/>
    <s v="PROD_ID_001"/>
    <x v="70"/>
    <s v="Medium"/>
    <d v="2021-01-03T00:00:00"/>
    <x v="1"/>
    <x v="1"/>
    <x v="1"/>
    <n v="3001"/>
    <n v="6"/>
    <n v="23"/>
    <n v="69023"/>
    <n v="5521.84"/>
    <x v="351"/>
    <n v="34.513800000000003"/>
    <n v="18006"/>
    <n v="45495.16"/>
    <n v="81.891288000000003"/>
  </r>
  <r>
    <x v="3"/>
    <x v="2"/>
    <x v="0"/>
    <s v="CUST_ID_043"/>
    <s v="PROD_ID_001"/>
    <x v="42"/>
    <s v="Medium"/>
    <d v="2020-11-27T00:00:00"/>
    <x v="6"/>
    <x v="3"/>
    <x v="0"/>
    <n v="850"/>
    <n v="6"/>
    <n v="30"/>
    <n v="25500"/>
    <n v="2040"/>
    <x v="352"/>
    <n v="13.027200000000001"/>
    <n v="5100"/>
    <n v="18360"/>
    <n v="33.048000000000002"/>
  </r>
  <r>
    <x v="3"/>
    <x v="4"/>
    <x v="0"/>
    <s v="CUST_ID_037"/>
    <s v="PROD_ID_001"/>
    <x v="36"/>
    <s v="Medium"/>
    <d v="2021-08-15T00:00:00"/>
    <x v="2"/>
    <x v="0"/>
    <x v="1"/>
    <n v="774"/>
    <n v="6"/>
    <n v="30"/>
    <n v="23220"/>
    <n v="1857.6000000000001"/>
    <x v="353"/>
    <n v="11.868"/>
    <n v="4644"/>
    <n v="16718.400000000001"/>
    <n v="30.093120000000003"/>
  </r>
  <r>
    <x v="2"/>
    <x v="5"/>
    <x v="0"/>
    <s v="CUST_ID_078"/>
    <s v="PROD_ID_001"/>
    <x v="75"/>
    <s v="Medium"/>
    <d v="2021-07-11T00:00:00"/>
    <x v="3"/>
    <x v="0"/>
    <x v="1"/>
    <n v="1874"/>
    <n v="6"/>
    <n v="450"/>
    <n v="843300"/>
    <n v="67464"/>
    <x v="354"/>
    <n v="431.11200000000002"/>
    <n v="11244"/>
    <n v="764592"/>
    <n v="1376.2655999999999"/>
  </r>
  <r>
    <x v="1"/>
    <x v="4"/>
    <x v="0"/>
    <s v="CUST_ID_109"/>
    <s v="PROD_ID_001"/>
    <x v="80"/>
    <s v="Medium"/>
    <d v="2021-06-22T00:00:00"/>
    <x v="11"/>
    <x v="2"/>
    <x v="1"/>
    <n v="853"/>
    <n v="6"/>
    <n v="23"/>
    <n v="19619"/>
    <n v="1569.52"/>
    <x v="355"/>
    <n v="9.8117999999999999"/>
    <n v="5118"/>
    <n v="12931.48"/>
    <n v="23.276664"/>
  </r>
  <r>
    <x v="0"/>
    <x v="7"/>
    <x v="1"/>
    <s v="CUST_ID_024"/>
    <s v="PROD_ID_002"/>
    <x v="23"/>
    <s v="Medium"/>
    <d v="2021-11-09T00:00:00"/>
    <x v="6"/>
    <x v="3"/>
    <x v="1"/>
    <n v="1337"/>
    <n v="12"/>
    <n v="188"/>
    <n v="251356"/>
    <n v="20108.48"/>
    <x v="356"/>
    <n v="128.11000000000001"/>
    <n v="16044"/>
    <n v="215203.52"/>
    <n v="387.36633599999999"/>
  </r>
  <r>
    <x v="3"/>
    <x v="7"/>
    <x v="1"/>
    <s v="CUST_ID_072"/>
    <s v="PROD_ID_002"/>
    <x v="69"/>
    <s v="Medium"/>
    <d v="2021-07-12T00:00:00"/>
    <x v="3"/>
    <x v="0"/>
    <x v="1"/>
    <n v="1511"/>
    <n v="12"/>
    <n v="11"/>
    <n v="16621"/>
    <n v="1329.68"/>
    <x v="357"/>
    <n v="8.1079600000000003"/>
    <n v="18132"/>
    <n v="-2840.6800000000003"/>
    <n v="-5.1132240000000007"/>
  </r>
  <r>
    <x v="3"/>
    <x v="7"/>
    <x v="1"/>
    <s v="CUST_ID_072"/>
    <s v="PROD_ID_002"/>
    <x v="69"/>
    <s v="Medium"/>
    <d v="2020-09-28T00:00:00"/>
    <x v="0"/>
    <x v="0"/>
    <x v="0"/>
    <n v="1314"/>
    <n v="12"/>
    <n v="11"/>
    <n v="14454"/>
    <n v="1156.32"/>
    <x v="358"/>
    <n v="7.0518000000000001"/>
    <n v="15768"/>
    <n v="-2470.3199999999997"/>
    <n v="-4.4465759999999994"/>
  </r>
  <r>
    <x v="3"/>
    <x v="7"/>
    <x v="1"/>
    <s v="CUST_ID_072"/>
    <s v="PROD_ID_002"/>
    <x v="69"/>
    <s v="Medium"/>
    <d v="2020-03-04T00:00:00"/>
    <x v="8"/>
    <x v="1"/>
    <x v="0"/>
    <n v="1639"/>
    <n v="12"/>
    <n v="30"/>
    <n v="49170"/>
    <n v="3933.6"/>
    <x v="359"/>
    <n v="25.134400000000003"/>
    <n v="19668"/>
    <n v="25568.400000000001"/>
    <n v="46.023119999999999"/>
  </r>
  <r>
    <x v="2"/>
    <x v="2"/>
    <x v="1"/>
    <s v="CUST_ID_003"/>
    <s v="PROD_ID_002"/>
    <x v="2"/>
    <s v="Medium"/>
    <d v="2020-07-27T00:00:00"/>
    <x v="3"/>
    <x v="0"/>
    <x v="0"/>
    <n v="2952"/>
    <n v="12"/>
    <n v="450"/>
    <n v="1328400"/>
    <n v="106272"/>
    <x v="360"/>
    <n v="678.96"/>
    <n v="35424"/>
    <n v="1186704"/>
    <n v="2136.0672"/>
  </r>
  <r>
    <x v="3"/>
    <x v="2"/>
    <x v="1"/>
    <s v="CUST_ID_027"/>
    <s v="PROD_ID_002"/>
    <x v="26"/>
    <s v="Medium"/>
    <d v="2020-03-21T00:00:00"/>
    <x v="8"/>
    <x v="1"/>
    <x v="0"/>
    <n v="814"/>
    <n v="12"/>
    <n v="11"/>
    <n v="8954"/>
    <n v="716.32"/>
    <x v="361"/>
    <n v="4.36632"/>
    <n v="9768"/>
    <n v="-1530.3199999999997"/>
    <n v="-2.7545759999999992"/>
  </r>
  <r>
    <x v="3"/>
    <x v="7"/>
    <x v="1"/>
    <s v="CUST_ID_072"/>
    <s v="PROD_ID_002"/>
    <x v="69"/>
    <s v="Medium"/>
    <d v="2020-11-06T00:00:00"/>
    <x v="6"/>
    <x v="3"/>
    <x v="0"/>
    <n v="1918"/>
    <n v="12"/>
    <n v="11"/>
    <n v="21098"/>
    <n v="1687.8400000000001"/>
    <x v="362"/>
    <n v="10.291120000000001"/>
    <n v="23016"/>
    <n v="-3605.84"/>
    <n v="-6.4905119999999998"/>
  </r>
  <r>
    <x v="3"/>
    <x v="7"/>
    <x v="1"/>
    <s v="CUST_ID_072"/>
    <s v="PROD_ID_002"/>
    <x v="69"/>
    <s v="Medium"/>
    <d v="2020-02-02T00:00:00"/>
    <x v="4"/>
    <x v="1"/>
    <x v="0"/>
    <n v="2321"/>
    <n v="12"/>
    <n v="30"/>
    <n v="69630"/>
    <n v="5570.4000000000005"/>
    <x v="363"/>
    <n v="35.585599999999999"/>
    <n v="27852"/>
    <n v="36207.599999999999"/>
    <n v="65.17367999999999"/>
  </r>
  <r>
    <x v="3"/>
    <x v="7"/>
    <x v="1"/>
    <s v="CUST_ID_040"/>
    <s v="PROD_ID_002"/>
    <x v="39"/>
    <s v="Medium"/>
    <d v="2020-01-12T00:00:00"/>
    <x v="1"/>
    <x v="1"/>
    <x v="0"/>
    <n v="3592"/>
    <n v="12"/>
    <n v="30"/>
    <n v="107760"/>
    <n v="8620.7999999999993"/>
    <x v="364"/>
    <n v="55.071199999999997"/>
    <n v="43104"/>
    <n v="56035.199999999997"/>
    <n v="100.86335999999999"/>
  </r>
  <r>
    <x v="3"/>
    <x v="7"/>
    <x v="1"/>
    <s v="CUST_ID_040"/>
    <s v="PROD_ID_002"/>
    <x v="39"/>
    <s v="Medium"/>
    <d v="2021-09-12T00:00:00"/>
    <x v="0"/>
    <x v="0"/>
    <x v="1"/>
    <n v="1634"/>
    <n v="12"/>
    <n v="525"/>
    <n v="857850"/>
    <n v="68628"/>
    <x v="350"/>
    <n v="438.56400000000002"/>
    <n v="19608"/>
    <n v="769614"/>
    <n v="1385.3052"/>
  </r>
  <r>
    <x v="4"/>
    <x v="4"/>
    <x v="2"/>
    <s v="CUST_ID_133"/>
    <s v="PROD_ID_003"/>
    <x v="80"/>
    <s v="Medium"/>
    <d v="2020-05-04T00:00:00"/>
    <x v="10"/>
    <x v="2"/>
    <x v="0"/>
    <n v="718"/>
    <n v="148"/>
    <n v="18"/>
    <n v="12924"/>
    <n v="1033.92"/>
    <x v="365"/>
    <n v="6.6019199999999998"/>
    <n v="106264"/>
    <n v="-94373.92"/>
    <n v="-169.87305599999999"/>
  </r>
  <r>
    <x v="3"/>
    <x v="0"/>
    <x v="2"/>
    <s v="CUST_ID_041"/>
    <s v="PROD_ID_003"/>
    <x v="40"/>
    <s v="Medium"/>
    <d v="2021-08-17T00:00:00"/>
    <x v="2"/>
    <x v="0"/>
    <x v="1"/>
    <n v="3488"/>
    <n v="148"/>
    <n v="11"/>
    <n v="38368"/>
    <n v="3069.44"/>
    <x v="366"/>
    <n v="18.721080000000001"/>
    <n v="516224"/>
    <n v="-480925.44"/>
    <n v="-865.66579200000001"/>
  </r>
  <r>
    <x v="3"/>
    <x v="3"/>
    <x v="2"/>
    <s v="CUST_ID_028"/>
    <s v="PROD_ID_003"/>
    <x v="27"/>
    <s v="Medium"/>
    <d v="2020-07-05T00:00:00"/>
    <x v="3"/>
    <x v="0"/>
    <x v="0"/>
    <n v="2806"/>
    <n v="148"/>
    <n v="11"/>
    <n v="30866"/>
    <n v="2469.2800000000002"/>
    <x v="367"/>
    <n v="15.056719999999999"/>
    <n v="415288"/>
    <n v="-386891.28"/>
    <n v="-696.40430400000002"/>
  </r>
  <r>
    <x v="2"/>
    <x v="0"/>
    <x v="2"/>
    <s v="CUST_ID_097"/>
    <s v="PROD_ID_003"/>
    <x v="89"/>
    <s v="Medium"/>
    <d v="2020-08-11T00:00:00"/>
    <x v="2"/>
    <x v="0"/>
    <x v="0"/>
    <n v="762"/>
    <n v="148"/>
    <n v="450"/>
    <n v="342900"/>
    <n v="27432"/>
    <x v="368"/>
    <n v="175.26"/>
    <n v="112776"/>
    <n v="202692"/>
    <n v="364.84559999999999"/>
  </r>
  <r>
    <x v="3"/>
    <x v="7"/>
    <x v="3"/>
    <s v="CUST_ID_008"/>
    <s v="PROD_ID_004"/>
    <x v="7"/>
    <s v="Medium"/>
    <d v="2021-02-22T00:00:00"/>
    <x v="4"/>
    <x v="1"/>
    <x v="1"/>
    <n v="689"/>
    <n v="308"/>
    <n v="525"/>
    <n v="361725"/>
    <n v="28938"/>
    <x v="369"/>
    <n v="184.989"/>
    <n v="212212"/>
    <n v="120575"/>
    <n v="217.035"/>
  </r>
  <r>
    <x v="3"/>
    <x v="7"/>
    <x v="3"/>
    <s v="CUST_ID_056"/>
    <s v="PROD_ID_004"/>
    <x v="55"/>
    <s v="Medium"/>
    <d v="2021-10-13T00:00:00"/>
    <x v="9"/>
    <x v="3"/>
    <x v="1"/>
    <n v="2806"/>
    <n v="308"/>
    <n v="11"/>
    <n v="30866"/>
    <n v="2469.2800000000002"/>
    <x v="367"/>
    <n v="15.056719999999999"/>
    <n v="864248"/>
    <n v="-835851.28"/>
    <n v="-1504.5323040000001"/>
  </r>
  <r>
    <x v="3"/>
    <x v="7"/>
    <x v="3"/>
    <s v="CUST_ID_008"/>
    <s v="PROD_ID_004"/>
    <x v="7"/>
    <s v="Medium"/>
    <d v="2021-03-20T00:00:00"/>
    <x v="8"/>
    <x v="1"/>
    <x v="1"/>
    <n v="457"/>
    <n v="308"/>
    <n v="525"/>
    <n v="239925"/>
    <n v="19194"/>
    <x v="370"/>
    <n v="122.682"/>
    <n v="140756"/>
    <n v="79975"/>
    <n v="143.95499999999998"/>
  </r>
  <r>
    <x v="3"/>
    <x v="7"/>
    <x v="3"/>
    <s v="CUST_ID_056"/>
    <s v="PROD_ID_004"/>
    <x v="55"/>
    <s v="Medium"/>
    <d v="2021-08-06T00:00:00"/>
    <x v="2"/>
    <x v="0"/>
    <x v="1"/>
    <n v="506"/>
    <n v="308"/>
    <n v="525"/>
    <n v="265650"/>
    <n v="21252"/>
    <x v="371"/>
    <n v="135.88399999999999"/>
    <n v="155848"/>
    <n v="88550"/>
    <n v="159.38999999999999"/>
  </r>
  <r>
    <x v="2"/>
    <x v="6"/>
    <x v="3"/>
    <s v="CUST_ID_063"/>
    <s v="PROD_ID_004"/>
    <x v="61"/>
    <s v="Medium"/>
    <d v="2021-03-20T00:00:00"/>
    <x v="8"/>
    <x v="1"/>
    <x v="1"/>
    <n v="2561"/>
    <n v="308"/>
    <n v="450"/>
    <n v="1152450"/>
    <n v="92196"/>
    <x v="372"/>
    <n v="588.98400000000004"/>
    <n v="788788"/>
    <n v="271466"/>
    <n v="488.6388"/>
  </r>
  <r>
    <x v="3"/>
    <x v="6"/>
    <x v="5"/>
    <s v="CUST_ID_047"/>
    <s v="PROD_ID_006"/>
    <x v="46"/>
    <s v="Medium"/>
    <d v="2020-04-19T00:00:00"/>
    <x v="5"/>
    <x v="2"/>
    <x v="0"/>
    <n v="850"/>
    <n v="320"/>
    <n v="30"/>
    <n v="25500"/>
    <n v="2040"/>
    <x v="352"/>
    <n v="13.027200000000001"/>
    <n v="272000"/>
    <n v="-248540"/>
    <n v="-447.37200000000001"/>
  </r>
  <r>
    <x v="3"/>
    <x v="7"/>
    <x v="5"/>
    <s v="CUST_ID_064"/>
    <s v="PROD_ID_006"/>
    <x v="62"/>
    <s v="Medium"/>
    <d v="2021-04-25T00:00:00"/>
    <x v="5"/>
    <x v="2"/>
    <x v="1"/>
    <n v="3488"/>
    <n v="320"/>
    <n v="11"/>
    <n v="38368"/>
    <n v="3069.44"/>
    <x v="366"/>
    <n v="18.721080000000001"/>
    <n v="1116160"/>
    <n v="-1080861.44"/>
    <n v="-1945.5505919999998"/>
  </r>
  <r>
    <x v="3"/>
    <x v="2"/>
    <x v="5"/>
    <s v="CUST_ID_035"/>
    <s v="PROD_ID_006"/>
    <x v="34"/>
    <s v="Medium"/>
    <d v="2021-10-08T00:00:00"/>
    <x v="9"/>
    <x v="3"/>
    <x v="1"/>
    <n v="1639"/>
    <n v="320"/>
    <n v="30"/>
    <n v="49170"/>
    <n v="3933.6"/>
    <x v="359"/>
    <n v="25.134400000000003"/>
    <n v="524480"/>
    <n v="-479243.6"/>
    <n v="-862.63847999999996"/>
  </r>
  <r>
    <x v="2"/>
    <x v="6"/>
    <x v="5"/>
    <s v="CUST_ID_127"/>
    <s v="PROD_ID_006"/>
    <x v="91"/>
    <s v="Medium"/>
    <d v="2021-06-15T00:00:00"/>
    <x v="11"/>
    <x v="2"/>
    <x v="1"/>
    <n v="2952"/>
    <n v="320"/>
    <n v="450"/>
    <n v="1328400"/>
    <n v="106272"/>
    <x v="360"/>
    <n v="678.96"/>
    <n v="944640"/>
    <n v="277488"/>
    <n v="499.47839999999997"/>
  </r>
  <r>
    <x v="3"/>
    <x v="2"/>
    <x v="5"/>
    <s v="CUST_ID_035"/>
    <s v="PROD_ID_006"/>
    <x v="34"/>
    <s v="Medium"/>
    <d v="2021-10-10T00:00:00"/>
    <x v="9"/>
    <x v="3"/>
    <x v="1"/>
    <n v="1824"/>
    <n v="320"/>
    <n v="30"/>
    <n v="54720"/>
    <n v="4377.6000000000004"/>
    <x v="373"/>
    <n v="27.968"/>
    <n v="583680"/>
    <n v="-533337.59999999998"/>
    <n v="-960.00767999999994"/>
  </r>
  <r>
    <x v="1"/>
    <x v="1"/>
    <x v="5"/>
    <s v="CUST_ID_082"/>
    <s v="PROD_ID_006"/>
    <x v="77"/>
    <s v="Medium"/>
    <d v="2021-07-27T00:00:00"/>
    <x v="3"/>
    <x v="0"/>
    <x v="1"/>
    <n v="853"/>
    <n v="320"/>
    <n v="23"/>
    <n v="19619"/>
    <n v="1569.52"/>
    <x v="355"/>
    <n v="9.8117999999999999"/>
    <n v="272960"/>
    <n v="-254910.52"/>
    <n v="-458.83893599999999"/>
  </r>
  <r>
    <x v="2"/>
    <x v="6"/>
    <x v="5"/>
    <s v="CUST_ID_127"/>
    <s v="PROD_ID_006"/>
    <x v="91"/>
    <s v="Medium"/>
    <d v="2021-06-27T00:00:00"/>
    <x v="11"/>
    <x v="2"/>
    <x v="1"/>
    <n v="762"/>
    <n v="320"/>
    <n v="450"/>
    <n v="342900"/>
    <n v="27432"/>
    <x v="368"/>
    <n v="175.26"/>
    <n v="243840"/>
    <n v="71628"/>
    <n v="128.93039999999999"/>
  </r>
  <r>
    <x v="3"/>
    <x v="0"/>
    <x v="3"/>
    <s v="CUST_ID_033"/>
    <s v="PROD_ID_004"/>
    <x v="32"/>
    <s v="Medium"/>
    <d v="2021-05-12T00:00:00"/>
    <x v="10"/>
    <x v="2"/>
    <x v="1"/>
    <n v="524"/>
    <n v="308"/>
    <n v="30"/>
    <n v="15720"/>
    <n v="1257.6000000000001"/>
    <x v="374"/>
    <n v="8.0315999999999992"/>
    <n v="161392"/>
    <n v="-146929.60000000001"/>
    <n v="-264.47327999999999"/>
  </r>
  <r>
    <x v="2"/>
    <x v="1"/>
    <x v="4"/>
    <s v="CUST_ID_146"/>
    <s v="PROD_ID_005"/>
    <x v="71"/>
    <s v="Medium"/>
    <d v="2021-12-20T00:00:00"/>
    <x v="7"/>
    <x v="3"/>
    <x v="1"/>
    <n v="1313"/>
    <n v="4"/>
    <n v="450"/>
    <n v="590850"/>
    <n v="53176.5"/>
    <x v="375"/>
    <n v="298.66199999999998"/>
    <n v="5252"/>
    <n v="532421.5"/>
    <n v="958.3587"/>
  </r>
  <r>
    <x v="2"/>
    <x v="1"/>
    <x v="0"/>
    <s v="CUST_ID_074"/>
    <s v="PROD_ID_001"/>
    <x v="71"/>
    <s v="Medium"/>
    <d v="2021-12-06T00:00:00"/>
    <x v="7"/>
    <x v="3"/>
    <x v="1"/>
    <n v="4563"/>
    <n v="6"/>
    <n v="450"/>
    <n v="2053350"/>
    <n v="184801.5"/>
    <x v="376"/>
    <n v="1038.0825"/>
    <n v="27378"/>
    <n v="1841170.5"/>
    <n v="3314.1068999999998"/>
  </r>
  <r>
    <x v="3"/>
    <x v="2"/>
    <x v="0"/>
    <s v="CUST_ID_059"/>
    <s v="PROD_ID_001"/>
    <x v="58"/>
    <s v="Medium"/>
    <d v="2020-09-01T00:00:00"/>
    <x v="0"/>
    <x v="0"/>
    <x v="0"/>
    <n v="1999"/>
    <n v="6"/>
    <n v="525"/>
    <n v="1049475"/>
    <n v="94452.75"/>
    <x v="377"/>
    <n v="530.62099999999998"/>
    <n v="11994"/>
    <n v="943028.25"/>
    <n v="1697.4508499999999"/>
  </r>
  <r>
    <x v="4"/>
    <x v="5"/>
    <x v="0"/>
    <s v="CUST_ID_110"/>
    <s v="PROD_ID_001"/>
    <x v="49"/>
    <s v="Medium"/>
    <d v="2020-06-21T00:00:00"/>
    <x v="11"/>
    <x v="2"/>
    <x v="0"/>
    <n v="2785"/>
    <n v="6"/>
    <n v="18"/>
    <n v="50130"/>
    <n v="4511.7"/>
    <x v="378"/>
    <n v="25.345320000000001"/>
    <n v="16710"/>
    <n v="28908.300000000003"/>
    <n v="52.034940000000006"/>
  </r>
  <r>
    <x v="0"/>
    <x v="4"/>
    <x v="0"/>
    <s v="CUST_ID_013"/>
    <s v="PROD_ID_001"/>
    <x v="12"/>
    <s v="Medium"/>
    <d v="2020-10-24T00:00:00"/>
    <x v="9"/>
    <x v="3"/>
    <x v="0"/>
    <n v="3356"/>
    <n v="6"/>
    <n v="188"/>
    <n v="630928"/>
    <n v="56783.519999999997"/>
    <x v="379"/>
    <n v="318.15875"/>
    <n v="20136"/>
    <n v="554008.48"/>
    <n v="997.21526399999993"/>
  </r>
  <r>
    <x v="2"/>
    <x v="2"/>
    <x v="1"/>
    <s v="CUST_ID_003"/>
    <s v="PROD_ID_002"/>
    <x v="2"/>
    <s v="Medium"/>
    <d v="2020-07-29T00:00:00"/>
    <x v="3"/>
    <x v="0"/>
    <x v="0"/>
    <n v="3078"/>
    <n v="12"/>
    <n v="450"/>
    <n v="1385100"/>
    <n v="124659"/>
    <x v="380"/>
    <n v="700.245"/>
    <n v="36936"/>
    <n v="1223505"/>
    <n v="2202.3089999999997"/>
  </r>
  <r>
    <x v="3"/>
    <x v="7"/>
    <x v="1"/>
    <s v="CUST_ID_040"/>
    <s v="PROD_ID_002"/>
    <x v="39"/>
    <s v="Medium"/>
    <d v="2021-04-24T00:00:00"/>
    <x v="5"/>
    <x v="2"/>
    <x v="1"/>
    <n v="2900"/>
    <n v="12"/>
    <n v="525"/>
    <n v="1522500"/>
    <n v="137025"/>
    <x v="381"/>
    <n v="769.81449999999995"/>
    <n v="34800"/>
    <n v="1350675"/>
    <n v="2431.2150000000001"/>
  </r>
  <r>
    <x v="1"/>
    <x v="1"/>
    <x v="1"/>
    <s v="CUST_ID_026"/>
    <s v="PROD_ID_002"/>
    <x v="25"/>
    <s v="Medium"/>
    <d v="2020-10-28T00:00:00"/>
    <x v="9"/>
    <x v="3"/>
    <x v="0"/>
    <n v="4410"/>
    <n v="12"/>
    <n v="23"/>
    <n v="101430"/>
    <n v="9128.6999999999989"/>
    <x v="382"/>
    <n v="50.16375"/>
    <n v="52920"/>
    <n v="39381.300000000003"/>
    <n v="70.886340000000004"/>
  </r>
  <r>
    <x v="2"/>
    <x v="5"/>
    <x v="1"/>
    <s v="CUST_ID_070"/>
    <s v="PROD_ID_002"/>
    <x v="67"/>
    <s v="Medium"/>
    <d v="2020-07-01T00:00:00"/>
    <x v="3"/>
    <x v="0"/>
    <x v="0"/>
    <n v="1313"/>
    <n v="12"/>
    <n v="450"/>
    <n v="590850"/>
    <n v="53176.5"/>
    <x v="375"/>
    <n v="298.66199999999998"/>
    <n v="15756"/>
    <n v="521917.5"/>
    <n v="939.45150000000001"/>
  </r>
  <r>
    <x v="1"/>
    <x v="1"/>
    <x v="1"/>
    <s v="CUST_ID_002"/>
    <s v="PROD_ID_002"/>
    <x v="1"/>
    <s v="Medium"/>
    <d v="2020-10-21T00:00:00"/>
    <x v="9"/>
    <x v="3"/>
    <x v="0"/>
    <n v="1472"/>
    <n v="12"/>
    <n v="23"/>
    <n v="33856"/>
    <n v="3047.04"/>
    <x v="383"/>
    <n v="16.748549999999998"/>
    <n v="17664"/>
    <n v="13144.96"/>
    <n v="23.660927999999998"/>
  </r>
  <r>
    <x v="2"/>
    <x v="0"/>
    <x v="1"/>
    <s v="CUST_ID_121"/>
    <s v="PROD_ID_002"/>
    <x v="70"/>
    <s v="Medium"/>
    <d v="2020-06-04T00:00:00"/>
    <x v="11"/>
    <x v="2"/>
    <x v="0"/>
    <n v="1589"/>
    <n v="12"/>
    <n v="450"/>
    <n v="715050"/>
    <n v="64354.5"/>
    <x v="384"/>
    <n v="361.452"/>
    <n v="19068"/>
    <n v="631627.5"/>
    <n v="1136.9295"/>
  </r>
  <r>
    <x v="0"/>
    <x v="2"/>
    <x v="1"/>
    <s v="CUST_ID_115"/>
    <s v="PROD_ID_002"/>
    <x v="84"/>
    <s v="Medium"/>
    <d v="2020-07-26T00:00:00"/>
    <x v="3"/>
    <x v="0"/>
    <x v="0"/>
    <n v="3356"/>
    <n v="12"/>
    <n v="188"/>
    <n v="630928"/>
    <n v="56783.519999999997"/>
    <x v="379"/>
    <n v="318.15875"/>
    <n v="40272"/>
    <n v="533872.48"/>
    <n v="960.97046399999999"/>
  </r>
  <r>
    <x v="1"/>
    <x v="2"/>
    <x v="2"/>
    <s v="CUST_ID_091"/>
    <s v="PROD_ID_003"/>
    <x v="84"/>
    <s v="Medium"/>
    <d v="2021-12-29T00:00:00"/>
    <x v="7"/>
    <x v="3"/>
    <x v="1"/>
    <n v="294"/>
    <n v="148"/>
    <n v="23"/>
    <n v="6762"/>
    <n v="608.57999999999993"/>
    <x v="385"/>
    <n v="3.3442500000000002"/>
    <n v="43512"/>
    <n v="-37358.58"/>
    <n v="-67.245444000000006"/>
  </r>
  <r>
    <x v="2"/>
    <x v="4"/>
    <x v="2"/>
    <s v="CUST_ID_101"/>
    <s v="PROD_ID_003"/>
    <x v="52"/>
    <s v="Medium"/>
    <d v="2021-05-07T00:00:00"/>
    <x v="10"/>
    <x v="2"/>
    <x v="1"/>
    <n v="4552"/>
    <n v="148"/>
    <n v="450"/>
    <n v="2048400"/>
    <n v="184356"/>
    <x v="386"/>
    <n v="1035.6255000000001"/>
    <n v="673696"/>
    <n v="1190348"/>
    <n v="2142.6264000000001"/>
  </r>
  <r>
    <x v="3"/>
    <x v="3"/>
    <x v="2"/>
    <s v="CUST_ID_028"/>
    <s v="PROD_ID_003"/>
    <x v="27"/>
    <s v="Medium"/>
    <d v="2020-02-21T00:00:00"/>
    <x v="4"/>
    <x v="1"/>
    <x v="0"/>
    <n v="1568"/>
    <n v="148"/>
    <n v="525"/>
    <n v="823200"/>
    <n v="74088"/>
    <x v="387"/>
    <n v="416.27949999999998"/>
    <n v="232064"/>
    <n v="517048"/>
    <n v="930.68639999999994"/>
  </r>
  <r>
    <x v="0"/>
    <x v="6"/>
    <x v="2"/>
    <s v="CUST_ID_007"/>
    <s v="PROD_ID_003"/>
    <x v="6"/>
    <s v="Medium"/>
    <d v="2020-11-24T00:00:00"/>
    <x v="6"/>
    <x v="3"/>
    <x v="0"/>
    <n v="680"/>
    <n v="148"/>
    <n v="188"/>
    <n v="127840"/>
    <n v="11505.6"/>
    <x v="388"/>
    <n v="64.496250000000003"/>
    <n v="100640"/>
    <n v="15694.399999999994"/>
    <n v="28.249919999999989"/>
  </r>
  <r>
    <x v="0"/>
    <x v="5"/>
    <x v="2"/>
    <s v="CUST_ID_030"/>
    <s v="PROD_ID_003"/>
    <x v="29"/>
    <s v="Medium"/>
    <d v="2020-01-22T00:00:00"/>
    <x v="1"/>
    <x v="1"/>
    <x v="0"/>
    <n v="2532"/>
    <n v="148"/>
    <n v="188"/>
    <n v="476016"/>
    <n v="42841.439999999995"/>
    <x v="389"/>
    <n v="240.01249999999999"/>
    <n v="374736"/>
    <n v="58438.559999999998"/>
    <n v="105.18940799999999"/>
  </r>
  <r>
    <x v="3"/>
    <x v="7"/>
    <x v="2"/>
    <s v="CUST_ID_016"/>
    <s v="PROD_ID_003"/>
    <x v="15"/>
    <s v="Medium"/>
    <d v="2021-06-01T00:00:00"/>
    <x v="11"/>
    <x v="2"/>
    <x v="1"/>
    <n v="1523"/>
    <n v="148"/>
    <n v="525"/>
    <n v="799575"/>
    <n v="71961.75"/>
    <x v="390"/>
    <n v="404.17649999999998"/>
    <n v="225404"/>
    <n v="502209.25"/>
    <n v="903.97664999999995"/>
  </r>
  <r>
    <x v="4"/>
    <x v="2"/>
    <x v="3"/>
    <s v="CUST_ID_147"/>
    <s v="PROD_ID_004"/>
    <x v="72"/>
    <s v="Medium"/>
    <d v="2020-11-22T00:00:00"/>
    <x v="6"/>
    <x v="3"/>
    <x v="0"/>
    <n v="2347"/>
    <n v="308"/>
    <n v="18"/>
    <n v="42246"/>
    <n v="3802.14"/>
    <x v="391"/>
    <n v="21.35952"/>
    <n v="722876"/>
    <n v="-684432.14"/>
    <n v="-1231.977852"/>
  </r>
  <r>
    <x v="2"/>
    <x v="7"/>
    <x v="3"/>
    <s v="CUST_ID_032"/>
    <s v="PROD_ID_004"/>
    <x v="31"/>
    <s v="Medium"/>
    <d v="2021-12-26T00:00:00"/>
    <x v="7"/>
    <x v="3"/>
    <x v="1"/>
    <n v="3191"/>
    <n v="308"/>
    <n v="450"/>
    <n v="1435950"/>
    <n v="129235.5"/>
    <x v="392"/>
    <n v="725.90700000000004"/>
    <n v="982828"/>
    <n v="323886.5"/>
    <n v="582.99569999999994"/>
  </r>
  <r>
    <x v="3"/>
    <x v="0"/>
    <x v="3"/>
    <s v="CUST_ID_033"/>
    <s v="PROD_ID_004"/>
    <x v="32"/>
    <s v="Medium"/>
    <d v="2021-11-21T00:00:00"/>
    <x v="6"/>
    <x v="3"/>
    <x v="1"/>
    <n v="1622"/>
    <n v="308"/>
    <n v="525"/>
    <n v="851550"/>
    <n v="76639.5"/>
    <x v="393"/>
    <n v="430.45274999999998"/>
    <n v="499576"/>
    <n v="275334.5"/>
    <n v="495.60210000000001"/>
  </r>
  <r>
    <x v="4"/>
    <x v="2"/>
    <x v="3"/>
    <s v="CUST_ID_067"/>
    <s v="PROD_ID_004"/>
    <x v="65"/>
    <s v="Medium"/>
    <d v="2020-11-07T00:00:00"/>
    <x v="6"/>
    <x v="3"/>
    <x v="0"/>
    <n v="1056"/>
    <n v="308"/>
    <n v="18"/>
    <n v="19008"/>
    <n v="1710.72"/>
    <x v="394"/>
    <n v="9.6096000000000004"/>
    <n v="325248"/>
    <n v="-307950.71999999997"/>
    <n v="-554.31129599999997"/>
  </r>
  <r>
    <x v="2"/>
    <x v="2"/>
    <x v="3"/>
    <s v="CUST_ID_075"/>
    <s v="PROD_ID_004"/>
    <x v="72"/>
    <s v="Medium"/>
    <d v="2020-01-24T00:00:00"/>
    <x v="1"/>
    <x v="1"/>
    <x v="0"/>
    <n v="2240"/>
    <n v="308"/>
    <n v="450"/>
    <n v="1008000"/>
    <n v="90720"/>
    <x v="395"/>
    <n v="509.69099999999997"/>
    <n v="689920"/>
    <n v="227360"/>
    <n v="409.24799999999999"/>
  </r>
  <r>
    <x v="1"/>
    <x v="6"/>
    <x v="3"/>
    <s v="CUST_ID_087"/>
    <s v="PROD_ID_004"/>
    <x v="50"/>
    <s v="Medium"/>
    <d v="2021-10-25T00:00:00"/>
    <x v="9"/>
    <x v="3"/>
    <x v="1"/>
    <n v="1472"/>
    <n v="308"/>
    <n v="23"/>
    <n v="33856"/>
    <n v="3047.04"/>
    <x v="383"/>
    <n v="16.748549999999998"/>
    <n v="453376"/>
    <n v="-422567.04"/>
    <n v="-760.6206719999999"/>
  </r>
  <r>
    <x v="0"/>
    <x v="4"/>
    <x v="3"/>
    <s v="CUST_ID_125"/>
    <s v="PROD_ID_004"/>
    <x v="52"/>
    <s v="Medium"/>
    <d v="2021-10-25T00:00:00"/>
    <x v="9"/>
    <x v="3"/>
    <x v="1"/>
    <n v="1052"/>
    <n v="308"/>
    <n v="188"/>
    <n v="197776"/>
    <n v="17799.84"/>
    <x v="396"/>
    <n v="99.758750000000006"/>
    <n v="324016"/>
    <n v="-144039.84"/>
    <n v="-259.27171199999998"/>
  </r>
  <r>
    <x v="3"/>
    <x v="7"/>
    <x v="5"/>
    <s v="CUST_ID_064"/>
    <s v="PROD_ID_006"/>
    <x v="62"/>
    <s v="Medium"/>
    <d v="2021-08-18T00:00:00"/>
    <x v="2"/>
    <x v="0"/>
    <x v="1"/>
    <n v="2485"/>
    <n v="320"/>
    <n v="525"/>
    <n v="1304625"/>
    <n v="117416.25"/>
    <x v="397"/>
    <n v="659.61350000000004"/>
    <n v="795200"/>
    <n v="392008.75"/>
    <n v="705.61574999999993"/>
  </r>
  <r>
    <x v="3"/>
    <x v="6"/>
    <x v="5"/>
    <s v="CUST_ID_047"/>
    <s v="PROD_ID_006"/>
    <x v="46"/>
    <s v="Medium"/>
    <d v="2020-04-06T00:00:00"/>
    <x v="5"/>
    <x v="2"/>
    <x v="0"/>
    <n v="1523"/>
    <n v="320"/>
    <n v="525"/>
    <n v="799575"/>
    <n v="71961.75"/>
    <x v="390"/>
    <n v="404.17649999999998"/>
    <n v="487360"/>
    <n v="240253.25"/>
    <n v="432.45585"/>
  </r>
  <r>
    <x v="3"/>
    <x v="4"/>
    <x v="5"/>
    <s v="CUST_ID_093"/>
    <s v="PROD_ID_006"/>
    <x v="56"/>
    <s v="Medium"/>
    <d v="2020-04-18T00:00:00"/>
    <x v="5"/>
    <x v="2"/>
    <x v="0"/>
    <n v="2033"/>
    <n v="320"/>
    <n v="30"/>
    <n v="60990"/>
    <n v="5489.0999999999995"/>
    <x v="398"/>
    <n v="30.8308"/>
    <n v="650560"/>
    <n v="-595059.1"/>
    <n v="-1071.1063799999999"/>
  </r>
  <r>
    <x v="3"/>
    <x v="7"/>
    <x v="4"/>
    <s v="CUST_ID_048"/>
    <s v="PROD_ID_005"/>
    <x v="47"/>
    <s v="Medium"/>
    <d v="2020-10-29T00:00:00"/>
    <x v="9"/>
    <x v="3"/>
    <x v="0"/>
    <n v="796"/>
    <n v="4"/>
    <n v="30"/>
    <n v="23880"/>
    <n v="2149.2000000000003"/>
    <x v="399"/>
    <n v="12.066600000000001"/>
    <n v="3184"/>
    <n v="18546.8"/>
    <n v="33.384239999999998"/>
  </r>
  <r>
    <x v="3"/>
    <x v="1"/>
    <x v="4"/>
    <s v="CUST_ID_042"/>
    <s v="PROD_ID_005"/>
    <x v="41"/>
    <s v="Medium"/>
    <d v="2020-09-13T00:00:00"/>
    <x v="0"/>
    <x v="0"/>
    <x v="0"/>
    <n v="983"/>
    <n v="4"/>
    <n v="11"/>
    <n v="10813"/>
    <n v="973.17000000000007"/>
    <x v="400"/>
    <n v="5.2170299999999994"/>
    <n v="3932"/>
    <n v="5907.83"/>
    <n v="10.634093999999999"/>
  </r>
  <r>
    <x v="4"/>
    <x v="1"/>
    <x v="4"/>
    <s v="CUST_ID_010"/>
    <s v="PROD_ID_005"/>
    <x v="9"/>
    <s v="Medium"/>
    <d v="2021-01-21T00:00:00"/>
    <x v="1"/>
    <x v="1"/>
    <x v="1"/>
    <n v="1896"/>
    <n v="4"/>
    <n v="18"/>
    <n v="34128"/>
    <n v="3071.5200000000004"/>
    <x v="401"/>
    <n v="17.253599999999999"/>
    <n v="7584"/>
    <n v="23472.48"/>
    <n v="42.250464000000001"/>
  </r>
  <r>
    <x v="3"/>
    <x v="1"/>
    <x v="4"/>
    <s v="CUST_ID_066"/>
    <s v="PROD_ID_005"/>
    <x v="64"/>
    <s v="Medium"/>
    <d v="2020-10-26T00:00:00"/>
    <x v="9"/>
    <x v="3"/>
    <x v="0"/>
    <n v="625"/>
    <n v="4"/>
    <n v="11"/>
    <n v="6875"/>
    <n v="618.75000000000011"/>
    <x v="402"/>
    <n v="3.3187699999999998"/>
    <n v="2500"/>
    <n v="3756.25"/>
    <n v="6.7612499999999995"/>
  </r>
  <r>
    <x v="3"/>
    <x v="2"/>
    <x v="1"/>
    <s v="CUST_ID_027"/>
    <s v="PROD_ID_002"/>
    <x v="26"/>
    <s v="Medium"/>
    <d v="2020-01-06T00:00:00"/>
    <x v="1"/>
    <x v="1"/>
    <x v="0"/>
    <n v="1168"/>
    <n v="12"/>
    <n v="30"/>
    <n v="35040"/>
    <n v="3153.6000000000004"/>
    <x v="403"/>
    <n v="17.708599999999997"/>
    <n v="14016"/>
    <n v="17870.400000000001"/>
    <n v="32.166720000000005"/>
  </r>
  <r>
    <x v="3"/>
    <x v="7"/>
    <x v="1"/>
    <s v="CUST_ID_040"/>
    <s v="PROD_ID_002"/>
    <x v="39"/>
    <s v="Medium"/>
    <d v="2021-08-05T00:00:00"/>
    <x v="2"/>
    <x v="0"/>
    <x v="1"/>
    <n v="1246"/>
    <n v="12"/>
    <n v="30"/>
    <n v="37380"/>
    <n v="3364.2000000000003"/>
    <x v="404"/>
    <n v="18.891599999999997"/>
    <n v="14952"/>
    <n v="19063.800000000003"/>
    <n v="34.314840000000004"/>
  </r>
  <r>
    <x v="3"/>
    <x v="7"/>
    <x v="1"/>
    <s v="CUST_ID_072"/>
    <s v="PROD_ID_002"/>
    <x v="69"/>
    <s v="Medium"/>
    <d v="2020-05-15T00:00:00"/>
    <x v="10"/>
    <x v="2"/>
    <x v="0"/>
    <n v="432"/>
    <n v="12"/>
    <n v="11"/>
    <n v="4752"/>
    <n v="427.68000000000006"/>
    <x v="405"/>
    <n v="2.2931999999999997"/>
    <n v="5184"/>
    <n v="-859.68000000000029"/>
    <n v="-1.5474240000000006"/>
  </r>
  <r>
    <x v="4"/>
    <x v="2"/>
    <x v="2"/>
    <s v="CUST_ID_123"/>
    <s v="PROD_ID_003"/>
    <x v="72"/>
    <s v="Medium"/>
    <d v="2020-03-02T00:00:00"/>
    <x v="8"/>
    <x v="1"/>
    <x v="0"/>
    <n v="2360"/>
    <n v="148"/>
    <n v="18"/>
    <n v="42480"/>
    <n v="3823.2000000000003"/>
    <x v="406"/>
    <n v="21.47964"/>
    <n v="349280"/>
    <n v="-310623.2"/>
    <n v="-559.12175999999999"/>
  </r>
  <r>
    <x v="1"/>
    <x v="2"/>
    <x v="2"/>
    <s v="CUST_ID_091"/>
    <s v="PROD_ID_003"/>
    <x v="84"/>
    <s v="Medium"/>
    <d v="2020-12-21T00:00:00"/>
    <x v="7"/>
    <x v="3"/>
    <x v="0"/>
    <n v="3154"/>
    <n v="148"/>
    <n v="23"/>
    <n v="72542"/>
    <n v="6528.7800000000007"/>
    <x v="407"/>
    <n v="35.872199999999999"/>
    <n v="466792"/>
    <n v="-400778.78"/>
    <n v="-721.40180400000008"/>
  </r>
  <r>
    <x v="3"/>
    <x v="7"/>
    <x v="3"/>
    <s v="CUST_ID_056"/>
    <s v="PROD_ID_004"/>
    <x v="55"/>
    <s v="Medium"/>
    <d v="2021-12-04T00:00:00"/>
    <x v="7"/>
    <x v="3"/>
    <x v="1"/>
    <n v="432"/>
    <n v="308"/>
    <n v="11"/>
    <n v="4752"/>
    <n v="427.68000000000006"/>
    <x v="405"/>
    <n v="2.2931999999999997"/>
    <n v="133056"/>
    <n v="-128731.68"/>
    <n v="-231.71702399999998"/>
  </r>
  <r>
    <x v="3"/>
    <x v="1"/>
    <x v="3"/>
    <s v="CUST_ID_034"/>
    <s v="PROD_ID_004"/>
    <x v="33"/>
    <s v="Medium"/>
    <d v="2021-02-13T00:00:00"/>
    <x v="4"/>
    <x v="1"/>
    <x v="1"/>
    <n v="625"/>
    <n v="308"/>
    <n v="11"/>
    <n v="6875"/>
    <n v="618.75000000000011"/>
    <x v="402"/>
    <n v="3.3187699999999998"/>
    <n v="192500"/>
    <n v="-186243.75"/>
    <n v="-335.23874999999998"/>
  </r>
  <r>
    <x v="3"/>
    <x v="4"/>
    <x v="5"/>
    <s v="CUST_ID_093"/>
    <s v="PROD_ID_006"/>
    <x v="56"/>
    <s v="Medium"/>
    <d v="2021-06-25T00:00:00"/>
    <x v="11"/>
    <x v="2"/>
    <x v="1"/>
    <n v="1246"/>
    <n v="320"/>
    <n v="30"/>
    <n v="37380"/>
    <n v="3364.2000000000003"/>
    <x v="404"/>
    <n v="18.891599999999997"/>
    <n v="398720"/>
    <n v="-364704.2"/>
    <n v="-656.46756000000005"/>
  </r>
  <r>
    <x v="1"/>
    <x v="6"/>
    <x v="5"/>
    <s v="CUST_ID_103"/>
    <s v="PROD_ID_006"/>
    <x v="91"/>
    <s v="Medium"/>
    <d v="2020-05-09T00:00:00"/>
    <x v="10"/>
    <x v="2"/>
    <x v="0"/>
    <n v="1957"/>
    <n v="320"/>
    <n v="23"/>
    <n v="45011"/>
    <n v="4050.9900000000007"/>
    <x v="408"/>
    <n v="22.256324999999997"/>
    <n v="626240"/>
    <n v="-585279.99"/>
    <n v="-1053.503982"/>
  </r>
  <r>
    <x v="3"/>
    <x v="2"/>
    <x v="0"/>
    <s v="CUST_ID_099"/>
    <s v="PROD_ID_001"/>
    <x v="72"/>
    <s v="High"/>
    <d v="2020-10-22T00:00:00"/>
    <x v="9"/>
    <x v="3"/>
    <x v="0"/>
    <n v="2794"/>
    <n v="6"/>
    <n v="11"/>
    <n v="30734"/>
    <n v="3073.3999999999996"/>
    <x v="409"/>
    <n v="14.666399999999999"/>
    <n v="16764"/>
    <n v="10896.599999999999"/>
    <n v="19.613879999999998"/>
  </r>
  <r>
    <x v="0"/>
    <x v="0"/>
    <x v="4"/>
    <s v="CUST_ID_009"/>
    <s v="PROD_ID_005"/>
    <x v="8"/>
    <s v="High"/>
    <d v="2020-10-25T00:00:00"/>
    <x v="9"/>
    <x v="3"/>
    <x v="0"/>
    <n v="4135"/>
    <n v="4"/>
    <n v="188"/>
    <n v="777380"/>
    <n v="77738"/>
    <x v="410"/>
    <n v="387.61874999999998"/>
    <n v="16540"/>
    <n v="683102"/>
    <n v="1229.5835999999999"/>
  </r>
  <r>
    <x v="3"/>
    <x v="2"/>
    <x v="0"/>
    <s v="CUST_ID_099"/>
    <s v="PROD_ID_001"/>
    <x v="72"/>
    <s v="High"/>
    <d v="2021-06-07T00:00:00"/>
    <x v="11"/>
    <x v="2"/>
    <x v="1"/>
    <n v="2776"/>
    <n v="6"/>
    <n v="525"/>
    <n v="1457400"/>
    <n v="145740"/>
    <x v="411"/>
    <n v="728.59500000000003"/>
    <n v="16656"/>
    <n v="1295004"/>
    <n v="2331.0072"/>
  </r>
  <r>
    <x v="1"/>
    <x v="0"/>
    <x v="0"/>
    <s v="CUST_ID_145"/>
    <s v="PROD_ID_001"/>
    <x v="70"/>
    <s v="High"/>
    <d v="2020-04-23T00:00:00"/>
    <x v="5"/>
    <x v="2"/>
    <x v="0"/>
    <n v="2486"/>
    <n v="6"/>
    <n v="23"/>
    <n v="57178"/>
    <n v="5717.8"/>
    <x v="412"/>
    <n v="27.972000000000001"/>
    <n v="14916"/>
    <n v="36544.199999999997"/>
    <n v="65.779559999999989"/>
  </r>
  <r>
    <x v="3"/>
    <x v="3"/>
    <x v="1"/>
    <s v="CUST_ID_052"/>
    <s v="PROD_ID_002"/>
    <x v="51"/>
    <s v="High"/>
    <d v="2020-01-16T00:00:00"/>
    <x v="1"/>
    <x v="1"/>
    <x v="0"/>
    <n v="2345"/>
    <n v="12"/>
    <n v="30"/>
    <n v="70350"/>
    <n v="7035"/>
    <x v="413"/>
    <n v="35.171999999999997"/>
    <n v="28140"/>
    <n v="35175"/>
    <n v="63.314999999999998"/>
  </r>
  <r>
    <x v="2"/>
    <x v="2"/>
    <x v="1"/>
    <s v="CUST_ID_003"/>
    <s v="PROD_ID_002"/>
    <x v="2"/>
    <s v="High"/>
    <d v="2021-04-22T00:00:00"/>
    <x v="5"/>
    <x v="2"/>
    <x v="1"/>
    <n v="709"/>
    <n v="12"/>
    <n v="450"/>
    <n v="319050"/>
    <n v="31905"/>
    <x v="414"/>
    <n v="159.57"/>
    <n v="8508"/>
    <n v="278637"/>
    <n v="501.54660000000001"/>
  </r>
  <r>
    <x v="3"/>
    <x v="7"/>
    <x v="1"/>
    <s v="CUST_ID_072"/>
    <s v="PROD_ID_002"/>
    <x v="69"/>
    <s v="High"/>
    <d v="2021-10-24T00:00:00"/>
    <x v="9"/>
    <x v="3"/>
    <x v="1"/>
    <n v="289"/>
    <n v="12"/>
    <n v="30"/>
    <n v="8670"/>
    <n v="867"/>
    <x v="415"/>
    <n v="4.3380000000000001"/>
    <n v="3468"/>
    <n v="4335"/>
    <n v="7.8029999999999999"/>
  </r>
  <r>
    <x v="1"/>
    <x v="7"/>
    <x v="2"/>
    <s v="CUST_ID_096"/>
    <s v="PROD_ID_003"/>
    <x v="88"/>
    <s v="High"/>
    <d v="2020-05-19T00:00:00"/>
    <x v="10"/>
    <x v="2"/>
    <x v="0"/>
    <n v="817"/>
    <n v="148"/>
    <n v="23"/>
    <n v="18791"/>
    <n v="1879.1000000000001"/>
    <x v="416"/>
    <n v="9.1935000000000002"/>
    <n v="120916"/>
    <n v="-104004.1"/>
    <n v="-187.20738"/>
  </r>
  <r>
    <x v="1"/>
    <x v="7"/>
    <x v="2"/>
    <s v="CUST_ID_096"/>
    <s v="PROD_ID_003"/>
    <x v="88"/>
    <s v="High"/>
    <d v="2021-02-05T00:00:00"/>
    <x v="4"/>
    <x v="1"/>
    <x v="1"/>
    <n v="612"/>
    <n v="148"/>
    <n v="23"/>
    <n v="14076"/>
    <n v="1407.6000000000001"/>
    <x v="417"/>
    <n v="6.8849999999999998"/>
    <n v="90576"/>
    <n v="-77907.600000000006"/>
    <n v="-140.23367999999999"/>
  </r>
  <r>
    <x v="1"/>
    <x v="6"/>
    <x v="2"/>
    <s v="CUST_ID_135"/>
    <s v="PROD_ID_003"/>
    <x v="50"/>
    <s v="High"/>
    <d v="2020-12-07T00:00:00"/>
    <x v="7"/>
    <x v="3"/>
    <x v="0"/>
    <n v="948"/>
    <n v="148"/>
    <n v="23"/>
    <n v="21804"/>
    <n v="2180.4"/>
    <x v="418"/>
    <n v="10.664999999999999"/>
    <n v="140304"/>
    <n v="-120680.4"/>
    <n v="-217.22471999999999"/>
  </r>
  <r>
    <x v="3"/>
    <x v="5"/>
    <x v="2"/>
    <s v="CUST_ID_054"/>
    <s v="PROD_ID_003"/>
    <x v="53"/>
    <s v="High"/>
    <d v="2020-06-14T00:00:00"/>
    <x v="11"/>
    <x v="2"/>
    <x v="0"/>
    <n v="767"/>
    <n v="148"/>
    <n v="525"/>
    <n v="402675"/>
    <n v="40267.5"/>
    <x v="419"/>
    <n v="201.285"/>
    <n v="113516"/>
    <n v="248891.5"/>
    <n v="448.00470000000001"/>
  </r>
  <r>
    <x v="0"/>
    <x v="6"/>
    <x v="2"/>
    <s v="CUST_ID_015"/>
    <s v="PROD_ID_003"/>
    <x v="14"/>
    <s v="High"/>
    <d v="2021-05-10T00:00:00"/>
    <x v="10"/>
    <x v="2"/>
    <x v="1"/>
    <n v="1915"/>
    <n v="148"/>
    <n v="188"/>
    <n v="360020"/>
    <n v="36002"/>
    <x v="420"/>
    <n v="179.55"/>
    <n v="283420"/>
    <n v="40598"/>
    <n v="73.076399999999992"/>
  </r>
  <r>
    <x v="3"/>
    <x v="3"/>
    <x v="2"/>
    <s v="CUST_ID_028"/>
    <s v="PROD_ID_003"/>
    <x v="27"/>
    <s v="High"/>
    <d v="2021-06-21T00:00:00"/>
    <x v="11"/>
    <x v="2"/>
    <x v="1"/>
    <n v="289"/>
    <n v="148"/>
    <n v="30"/>
    <n v="8670"/>
    <n v="867"/>
    <x v="415"/>
    <n v="4.3380000000000001"/>
    <n v="42772"/>
    <n v="-34969"/>
    <n v="-62.944199999999995"/>
  </r>
  <r>
    <x v="3"/>
    <x v="3"/>
    <x v="2"/>
    <s v="CUST_ID_028"/>
    <s v="PROD_ID_003"/>
    <x v="27"/>
    <s v="High"/>
    <d v="2021-10-07T00:00:00"/>
    <x v="9"/>
    <x v="3"/>
    <x v="1"/>
    <n v="3198"/>
    <n v="148"/>
    <n v="11"/>
    <n v="35178"/>
    <n v="3517.8"/>
    <x v="421"/>
    <n v="16.7895"/>
    <n v="473304"/>
    <n v="-441643.8"/>
    <n v="-794.95884000000001"/>
  </r>
  <r>
    <x v="2"/>
    <x v="4"/>
    <x v="2"/>
    <s v="CUST_ID_061"/>
    <s v="PROD_ID_003"/>
    <x v="59"/>
    <s v="High"/>
    <d v="2021-01-17T00:00:00"/>
    <x v="1"/>
    <x v="1"/>
    <x v="1"/>
    <n v="1024"/>
    <n v="148"/>
    <n v="450"/>
    <n v="460800"/>
    <n v="46080"/>
    <x v="422"/>
    <n v="230.31"/>
    <n v="151552"/>
    <n v="263168"/>
    <n v="473.70240000000001"/>
  </r>
  <r>
    <x v="0"/>
    <x v="4"/>
    <x v="3"/>
    <s v="CUST_ID_125"/>
    <s v="PROD_ID_004"/>
    <x v="52"/>
    <s v="High"/>
    <d v="2021-01-30T00:00:00"/>
    <x v="1"/>
    <x v="1"/>
    <x v="1"/>
    <n v="409"/>
    <n v="308"/>
    <n v="188"/>
    <n v="76892"/>
    <n v="7689.2000000000007"/>
    <x v="423"/>
    <n v="38.362499999999997"/>
    <n v="125972"/>
    <n v="-56769.2"/>
    <n v="-102.18455999999999"/>
  </r>
  <r>
    <x v="1"/>
    <x v="4"/>
    <x v="3"/>
    <s v="CUST_ID_045"/>
    <s v="PROD_ID_004"/>
    <x v="44"/>
    <s v="High"/>
    <d v="2020-08-30T00:00:00"/>
    <x v="2"/>
    <x v="0"/>
    <x v="0"/>
    <n v="769"/>
    <n v="308"/>
    <n v="23"/>
    <n v="17687"/>
    <n v="1768.7"/>
    <x v="424"/>
    <n v="8.6534999999999993"/>
    <n v="236852"/>
    <n v="-220933.7"/>
    <n v="-397.68065999999999"/>
  </r>
  <r>
    <x v="3"/>
    <x v="0"/>
    <x v="3"/>
    <s v="CUST_ID_033"/>
    <s v="PROD_ID_004"/>
    <x v="32"/>
    <s v="High"/>
    <d v="2020-09-04T00:00:00"/>
    <x v="0"/>
    <x v="0"/>
    <x v="0"/>
    <n v="3368"/>
    <n v="308"/>
    <n v="525"/>
    <n v="1768200"/>
    <n v="176820"/>
    <x v="425"/>
    <n v="884.20500000000004"/>
    <n v="1037344"/>
    <n v="554036"/>
    <n v="997.26479999999992"/>
  </r>
  <r>
    <x v="2"/>
    <x v="0"/>
    <x v="3"/>
    <s v="CUST_ID_017"/>
    <s v="PROD_ID_004"/>
    <x v="16"/>
    <s v="High"/>
    <d v="2021-01-20T00:00:00"/>
    <x v="1"/>
    <x v="1"/>
    <x v="1"/>
    <n v="518"/>
    <n v="308"/>
    <n v="450"/>
    <n v="233100"/>
    <n v="23310"/>
    <x v="426"/>
    <n v="116.64"/>
    <n v="159544"/>
    <n v="50246"/>
    <n v="90.442799999999991"/>
  </r>
  <r>
    <x v="0"/>
    <x v="0"/>
    <x v="3"/>
    <s v="CUST_ID_105"/>
    <s v="PROD_ID_004"/>
    <x v="38"/>
    <s v="High"/>
    <d v="2020-08-18T00:00:00"/>
    <x v="2"/>
    <x v="0"/>
    <x v="0"/>
    <n v="3035"/>
    <n v="308"/>
    <n v="188"/>
    <n v="570580"/>
    <n v="57058"/>
    <x v="427"/>
    <n v="284.51249999999999"/>
    <n v="934780"/>
    <n v="-421258"/>
    <n v="-758.26440000000002"/>
  </r>
  <r>
    <x v="0"/>
    <x v="3"/>
    <x v="5"/>
    <s v="CUST_ID_148"/>
    <s v="PROD_ID_006"/>
    <x v="73"/>
    <s v="High"/>
    <d v="2021-12-08T00:00:00"/>
    <x v="7"/>
    <x v="3"/>
    <x v="1"/>
    <n v="695"/>
    <n v="320"/>
    <n v="188"/>
    <n v="130660"/>
    <n v="13066"/>
    <x v="428"/>
    <n v="65.137500000000003"/>
    <n v="222400"/>
    <n v="-104806"/>
    <n v="-188.6508"/>
  </r>
  <r>
    <x v="3"/>
    <x v="6"/>
    <x v="5"/>
    <s v="CUST_ID_047"/>
    <s v="PROD_ID_006"/>
    <x v="46"/>
    <s v="High"/>
    <d v="2021-11-13T00:00:00"/>
    <x v="6"/>
    <x v="3"/>
    <x v="1"/>
    <n v="2688"/>
    <n v="320"/>
    <n v="525"/>
    <n v="1411200"/>
    <n v="141120"/>
    <x v="429"/>
    <n v="705.6"/>
    <n v="860160"/>
    <n v="409920"/>
    <n v="737.85599999999999"/>
  </r>
  <r>
    <x v="2"/>
    <x v="7"/>
    <x v="5"/>
    <s v="CUST_ID_144"/>
    <s v="PROD_ID_006"/>
    <x v="69"/>
    <s v="High"/>
    <d v="2021-08-09T00:00:00"/>
    <x v="2"/>
    <x v="0"/>
    <x v="1"/>
    <n v="3592"/>
    <n v="320"/>
    <n v="450"/>
    <n v="1616400"/>
    <n v="161640"/>
    <x v="430"/>
    <n v="808.11"/>
    <n v="1149440"/>
    <n v="305320"/>
    <n v="549.57600000000002"/>
  </r>
  <r>
    <x v="4"/>
    <x v="6"/>
    <x v="5"/>
    <s v="CUST_ID_095"/>
    <s v="PROD_ID_006"/>
    <x v="87"/>
    <s v="High"/>
    <d v="2020-11-26T00:00:00"/>
    <x v="6"/>
    <x v="3"/>
    <x v="0"/>
    <n v="4225"/>
    <n v="320"/>
    <n v="18"/>
    <n v="76050"/>
    <n v="7605"/>
    <x v="431"/>
    <n v="38.021399999999993"/>
    <n v="1352000"/>
    <n v="-1283555"/>
    <n v="-2310.3989999999999"/>
  </r>
  <r>
    <x v="3"/>
    <x v="4"/>
    <x v="5"/>
    <s v="CUST_ID_093"/>
    <s v="PROD_ID_006"/>
    <x v="56"/>
    <s v="High"/>
    <d v="2020-04-18T00:00:00"/>
    <x v="5"/>
    <x v="2"/>
    <x v="0"/>
    <n v="2447"/>
    <n v="320"/>
    <n v="30"/>
    <n v="73410"/>
    <n v="7341"/>
    <x v="432"/>
    <n v="36.701999999999998"/>
    <n v="783040"/>
    <n v="-716971"/>
    <n v="-1290.5478000000001"/>
  </r>
  <r>
    <x v="4"/>
    <x v="1"/>
    <x v="5"/>
    <s v="CUST_ID_098"/>
    <s v="PROD_ID_006"/>
    <x v="71"/>
    <s v="High"/>
    <d v="2021-05-02T00:00:00"/>
    <x v="10"/>
    <x v="2"/>
    <x v="1"/>
    <n v="3089"/>
    <n v="320"/>
    <n v="18"/>
    <n v="55602"/>
    <n v="5560.2000000000007"/>
    <x v="433"/>
    <n v="27.799199999999999"/>
    <n v="988480"/>
    <n v="-938438.2"/>
    <n v="-1689.1887599999998"/>
  </r>
  <r>
    <x v="3"/>
    <x v="6"/>
    <x v="5"/>
    <s v="CUST_ID_047"/>
    <s v="PROD_ID_006"/>
    <x v="46"/>
    <s v="High"/>
    <d v="2021-01-16T00:00:00"/>
    <x v="1"/>
    <x v="1"/>
    <x v="1"/>
    <n v="848"/>
    <n v="320"/>
    <n v="525"/>
    <n v="445200"/>
    <n v="44520"/>
    <x v="434"/>
    <n v="222.70500000000001"/>
    <n v="271360"/>
    <n v="129320"/>
    <n v="232.77599999999998"/>
  </r>
  <r>
    <x v="1"/>
    <x v="2"/>
    <x v="5"/>
    <s v="CUST_ID_019"/>
    <s v="PROD_ID_006"/>
    <x v="18"/>
    <s v="High"/>
    <d v="2020-11-24T00:00:00"/>
    <x v="6"/>
    <x v="3"/>
    <x v="0"/>
    <n v="2486"/>
    <n v="320"/>
    <n v="23"/>
    <n v="57178"/>
    <n v="5717.8"/>
    <x v="412"/>
    <n v="27.972000000000001"/>
    <n v="795520"/>
    <n v="-744059.8"/>
    <n v="-1339.30764"/>
  </r>
  <r>
    <x v="2"/>
    <x v="4"/>
    <x v="5"/>
    <s v="CUST_ID_149"/>
    <s v="PROD_ID_006"/>
    <x v="52"/>
    <s v="High"/>
    <d v="2021-12-11T00:00:00"/>
    <x v="7"/>
    <x v="3"/>
    <x v="1"/>
    <n v="1024"/>
    <n v="320"/>
    <n v="450"/>
    <n v="460800"/>
    <n v="46080"/>
    <x v="422"/>
    <n v="230.31"/>
    <n v="327680"/>
    <n v="87040"/>
    <n v="156.672"/>
  </r>
  <r>
    <x v="3"/>
    <x v="3"/>
    <x v="1"/>
    <s v="CUST_ID_052"/>
    <s v="PROD_ID_002"/>
    <x v="51"/>
    <s v="High"/>
    <d v="2021-09-16T00:00:00"/>
    <x v="0"/>
    <x v="0"/>
    <x v="1"/>
    <n v="3038"/>
    <n v="12"/>
    <n v="11"/>
    <n v="33418"/>
    <n v="3675.9799999999996"/>
    <x v="435"/>
    <n v="15.77436"/>
    <n v="36456"/>
    <n v="-6713.98"/>
    <n v="-12.085163999999999"/>
  </r>
  <r>
    <x v="1"/>
    <x v="3"/>
    <x v="2"/>
    <s v="CUST_ID_140"/>
    <s v="PROD_ID_003"/>
    <x v="85"/>
    <s v="High"/>
    <d v="2020-06-08T00:00:00"/>
    <x v="11"/>
    <x v="2"/>
    <x v="0"/>
    <n v="461"/>
    <n v="148"/>
    <n v="23"/>
    <n v="10603"/>
    <n v="1166.33"/>
    <x v="436"/>
    <n v="5.1263999999999994"/>
    <n v="68228"/>
    <n v="-58791.33"/>
    <n v="-105.824394"/>
  </r>
  <r>
    <x v="4"/>
    <x v="1"/>
    <x v="2"/>
    <s v="CUST_ID_114"/>
    <s v="PROD_ID_003"/>
    <x v="83"/>
    <s v="High"/>
    <d v="2020-11-28T00:00:00"/>
    <x v="6"/>
    <x v="3"/>
    <x v="0"/>
    <n v="566"/>
    <n v="148"/>
    <n v="18"/>
    <n v="10188"/>
    <n v="1120.6799999999998"/>
    <x v="437"/>
    <n v="5.0409600000000001"/>
    <n v="83768"/>
    <n v="-74700.679999999993"/>
    <n v="-134.46122399999999"/>
  </r>
  <r>
    <x v="3"/>
    <x v="0"/>
    <x v="3"/>
    <s v="CUST_ID_033"/>
    <s v="PROD_ID_004"/>
    <x v="32"/>
    <s v="High"/>
    <d v="2021-02-06T00:00:00"/>
    <x v="4"/>
    <x v="1"/>
    <x v="1"/>
    <n v="1895"/>
    <n v="308"/>
    <n v="11"/>
    <n v="20845"/>
    <n v="2292.9499999999998"/>
    <x v="438"/>
    <n v="9.8371700000000004"/>
    <n v="583660"/>
    <n v="-565107.94999999995"/>
    <n v="-1017.1943099999999"/>
  </r>
  <r>
    <x v="1"/>
    <x v="5"/>
    <x v="5"/>
    <s v="CUST_ID_046"/>
    <s v="PROD_ID_006"/>
    <x v="45"/>
    <s v="High"/>
    <d v="2020-04-15T00:00:00"/>
    <x v="5"/>
    <x v="2"/>
    <x v="0"/>
    <n v="3839"/>
    <n v="320"/>
    <n v="23"/>
    <n v="88297"/>
    <n v="9712.6699999999983"/>
    <x v="439"/>
    <n v="42.713324999999998"/>
    <n v="1228480"/>
    <n v="-1149895.67"/>
    <n v="-2069.8122059999996"/>
  </r>
  <r>
    <x v="4"/>
    <x v="1"/>
    <x v="5"/>
    <s v="CUST_ID_098"/>
    <s v="PROD_ID_006"/>
    <x v="71"/>
    <s v="High"/>
    <d v="2020-10-13T00:00:00"/>
    <x v="9"/>
    <x v="3"/>
    <x v="0"/>
    <n v="566"/>
    <n v="320"/>
    <n v="18"/>
    <n v="10188"/>
    <n v="1120.6799999999998"/>
    <x v="437"/>
    <n v="5.0409600000000001"/>
    <n v="181120"/>
    <n v="-172052.68"/>
    <n v="-309.69482399999998"/>
  </r>
  <r>
    <x v="4"/>
    <x v="3"/>
    <x v="4"/>
    <s v="CUST_ID_036"/>
    <s v="PROD_ID_005"/>
    <x v="35"/>
    <s v="High"/>
    <d v="2020-10-04T00:00:00"/>
    <x v="9"/>
    <x v="3"/>
    <x v="0"/>
    <n v="2324"/>
    <n v="4"/>
    <n v="18"/>
    <n v="41832"/>
    <n v="4601.5200000000004"/>
    <x v="440"/>
    <n v="20.687159999999999"/>
    <n v="9296"/>
    <n v="27934.479999999996"/>
    <n v="50.282063999999991"/>
  </r>
  <r>
    <x v="3"/>
    <x v="7"/>
    <x v="4"/>
    <s v="CUST_ID_048"/>
    <s v="PROD_ID_005"/>
    <x v="47"/>
    <s v="High"/>
    <d v="2020-05-23T00:00:00"/>
    <x v="10"/>
    <x v="2"/>
    <x v="0"/>
    <n v="950"/>
    <n v="4"/>
    <n v="525"/>
    <n v="498750"/>
    <n v="54862.5"/>
    <x v="441"/>
    <n v="246.708"/>
    <n v="3800"/>
    <n v="440087.5"/>
    <n v="792.15750000000003"/>
  </r>
  <r>
    <x v="2"/>
    <x v="3"/>
    <x v="4"/>
    <s v="CUST_ID_020"/>
    <s v="PROD_ID_005"/>
    <x v="19"/>
    <s v="High"/>
    <d v="2021-08-31T00:00:00"/>
    <x v="2"/>
    <x v="0"/>
    <x v="1"/>
    <n v="3373"/>
    <n v="4"/>
    <n v="450"/>
    <n v="1517850"/>
    <n v="166963.5"/>
    <x v="442"/>
    <n v="750.53700000000003"/>
    <n v="13492"/>
    <n v="1337394.5"/>
    <n v="2407.3101000000001"/>
  </r>
  <r>
    <x v="0"/>
    <x v="4"/>
    <x v="4"/>
    <s v="CUST_ID_085"/>
    <s v="PROD_ID_005"/>
    <x v="80"/>
    <s v="High"/>
    <d v="2021-04-05T00:00:00"/>
    <x v="5"/>
    <x v="2"/>
    <x v="1"/>
    <n v="2929"/>
    <n v="4"/>
    <n v="188"/>
    <n v="550652"/>
    <n v="60571.72"/>
    <x v="443"/>
    <n v="271.56124999999997"/>
    <n v="11716"/>
    <n v="478364.28"/>
    <n v="861.05570399999999"/>
  </r>
  <r>
    <x v="3"/>
    <x v="4"/>
    <x v="0"/>
    <s v="CUST_ID_037"/>
    <s v="PROD_ID_001"/>
    <x v="36"/>
    <s v="High"/>
    <d v="2021-04-14T00:00:00"/>
    <x v="5"/>
    <x v="2"/>
    <x v="1"/>
    <n v="919"/>
    <n v="6"/>
    <n v="525"/>
    <n v="482475"/>
    <n v="53072.25"/>
    <x v="444"/>
    <n v="238.60900000000001"/>
    <n v="5514"/>
    <n v="423888.75"/>
    <n v="762.99974999999995"/>
  </r>
  <r>
    <x v="1"/>
    <x v="7"/>
    <x v="0"/>
    <s v="CUST_ID_112"/>
    <s v="PROD_ID_001"/>
    <x v="81"/>
    <s v="High"/>
    <d v="2021-08-30T00:00:00"/>
    <x v="2"/>
    <x v="0"/>
    <x v="1"/>
    <n v="2588"/>
    <n v="6"/>
    <n v="23"/>
    <n v="59524"/>
    <n v="6547.64"/>
    <x v="445"/>
    <n v="28.795950000000001"/>
    <n v="15528"/>
    <n v="37448.36"/>
    <n v="67.407048000000003"/>
  </r>
  <r>
    <x v="2"/>
    <x v="5"/>
    <x v="1"/>
    <s v="CUST_ID_070"/>
    <s v="PROD_ID_002"/>
    <x v="67"/>
    <s v="High"/>
    <d v="2020-12-31T00:00:00"/>
    <x v="7"/>
    <x v="3"/>
    <x v="0"/>
    <n v="1048"/>
    <n v="12"/>
    <n v="450"/>
    <n v="471600"/>
    <n v="51876"/>
    <x v="446"/>
    <n v="233.09100000000001"/>
    <n v="12576"/>
    <n v="407148"/>
    <n v="732.8664"/>
  </r>
  <r>
    <x v="3"/>
    <x v="7"/>
    <x v="1"/>
    <s v="CUST_ID_040"/>
    <s v="PROD_ID_002"/>
    <x v="39"/>
    <s v="High"/>
    <d v="2020-12-27T00:00:00"/>
    <x v="7"/>
    <x v="3"/>
    <x v="0"/>
    <n v="1346"/>
    <n v="12"/>
    <n v="30"/>
    <n v="40380"/>
    <n v="4441.8"/>
    <x v="447"/>
    <n v="19.971599999999999"/>
    <n v="16152"/>
    <n v="19786.199999999997"/>
    <n v="35.615159999999996"/>
  </r>
  <r>
    <x v="3"/>
    <x v="3"/>
    <x v="1"/>
    <s v="CUST_ID_004"/>
    <s v="PROD_ID_002"/>
    <x v="3"/>
    <s v="High"/>
    <d v="2020-12-03T00:00:00"/>
    <x v="7"/>
    <x v="3"/>
    <x v="0"/>
    <n v="2525"/>
    <n v="12"/>
    <n v="525"/>
    <n v="1325625"/>
    <n v="145818.75"/>
    <x v="448"/>
    <n v="655.55174999999997"/>
    <n v="30300"/>
    <n v="1149506.25"/>
    <n v="2069.1112499999999"/>
  </r>
  <r>
    <x v="4"/>
    <x v="3"/>
    <x v="1"/>
    <s v="CUST_ID_060"/>
    <s v="PROD_ID_002"/>
    <x v="41"/>
    <s v="High"/>
    <d v="2021-04-20T00:00:00"/>
    <x v="5"/>
    <x v="2"/>
    <x v="1"/>
    <n v="4831"/>
    <n v="12"/>
    <n v="18"/>
    <n v="86958"/>
    <n v="9565.3799999999992"/>
    <x v="449"/>
    <n v="42.997680000000003"/>
    <n v="57972"/>
    <n v="19420.619999999995"/>
    <n v="34.957115999999992"/>
  </r>
  <r>
    <x v="4"/>
    <x v="0"/>
    <x v="1"/>
    <s v="CUST_ID_025"/>
    <s v="PROD_ID_002"/>
    <x v="24"/>
    <s v="High"/>
    <d v="2020-12-01T00:00:00"/>
    <x v="7"/>
    <x v="3"/>
    <x v="0"/>
    <n v="2911"/>
    <n v="12"/>
    <n v="18"/>
    <n v="52398"/>
    <n v="5763.78"/>
    <x v="450"/>
    <n v="25.904340000000005"/>
    <n v="34932"/>
    <n v="11702.220000000001"/>
    <n v="21.063996000000003"/>
  </r>
  <r>
    <x v="3"/>
    <x v="3"/>
    <x v="1"/>
    <s v="CUST_ID_004"/>
    <s v="PROD_ID_002"/>
    <x v="3"/>
    <s v="High"/>
    <d v="2020-03-12T00:00:00"/>
    <x v="8"/>
    <x v="1"/>
    <x v="0"/>
    <n v="2873"/>
    <n v="12"/>
    <n v="30"/>
    <n v="86190"/>
    <n v="9480.9"/>
    <x v="451"/>
    <n v="42.613199999999999"/>
    <n v="34476"/>
    <n v="42233.100000000006"/>
    <n v="76.019580000000005"/>
  </r>
  <r>
    <x v="1"/>
    <x v="3"/>
    <x v="1"/>
    <s v="CUST_ID_044"/>
    <s v="PROD_ID_002"/>
    <x v="43"/>
    <s v="High"/>
    <d v="2021-11-24T00:00:00"/>
    <x v="6"/>
    <x v="3"/>
    <x v="1"/>
    <n v="2381"/>
    <n v="12"/>
    <n v="23"/>
    <n v="54763"/>
    <n v="6023.93"/>
    <x v="452"/>
    <n v="26.4864"/>
    <n v="28572"/>
    <n v="20167.07"/>
    <n v="36.300725999999997"/>
  </r>
  <r>
    <x v="0"/>
    <x v="2"/>
    <x v="1"/>
    <s v="CUST_ID_051"/>
    <s v="PROD_ID_002"/>
    <x v="50"/>
    <s v="High"/>
    <d v="2020-10-05T00:00:00"/>
    <x v="9"/>
    <x v="3"/>
    <x v="0"/>
    <n v="2929"/>
    <n v="12"/>
    <n v="188"/>
    <n v="550652"/>
    <n v="60571.72"/>
    <x v="443"/>
    <n v="271.56124999999997"/>
    <n v="35148"/>
    <n v="454932.28"/>
    <n v="818.87810400000001"/>
  </r>
  <r>
    <x v="2"/>
    <x v="5"/>
    <x v="1"/>
    <s v="CUST_ID_070"/>
    <s v="PROD_ID_002"/>
    <x v="67"/>
    <s v="High"/>
    <d v="2020-10-17T00:00:00"/>
    <x v="9"/>
    <x v="3"/>
    <x v="0"/>
    <n v="1639"/>
    <n v="12"/>
    <n v="450"/>
    <n v="737550"/>
    <n v="81130.5"/>
    <x v="453"/>
    <n v="364.72199999999998"/>
    <n v="19668"/>
    <n v="636751.5"/>
    <n v="1146.1526999999999"/>
  </r>
  <r>
    <x v="3"/>
    <x v="7"/>
    <x v="2"/>
    <s v="CUST_ID_016"/>
    <s v="PROD_ID_003"/>
    <x v="15"/>
    <s v="High"/>
    <d v="2020-04-08T00:00:00"/>
    <x v="5"/>
    <x v="2"/>
    <x v="0"/>
    <n v="2170"/>
    <n v="148"/>
    <n v="11"/>
    <n v="23870"/>
    <n v="2625.7"/>
    <x v="454"/>
    <n v="11.26384"/>
    <n v="321160"/>
    <n v="-299915.7"/>
    <n v="-539.84825999999998"/>
  </r>
  <r>
    <x v="4"/>
    <x v="0"/>
    <x v="3"/>
    <s v="CUST_ID_081"/>
    <s v="PROD_ID_004"/>
    <x v="76"/>
    <s v="High"/>
    <d v="2020-10-03T00:00:00"/>
    <x v="9"/>
    <x v="3"/>
    <x v="0"/>
    <n v="2081"/>
    <n v="308"/>
    <n v="18"/>
    <n v="37458"/>
    <n v="4120.38"/>
    <x v="455"/>
    <n v="18.519119999999997"/>
    <n v="640948"/>
    <n v="-607610.38"/>
    <n v="-1093.698684"/>
  </r>
  <r>
    <x v="0"/>
    <x v="4"/>
    <x v="3"/>
    <s v="CUST_ID_125"/>
    <s v="PROD_ID_004"/>
    <x v="52"/>
    <s v="High"/>
    <d v="2020-06-04T00:00:00"/>
    <x v="11"/>
    <x v="2"/>
    <x v="0"/>
    <n v="665"/>
    <n v="308"/>
    <n v="188"/>
    <n v="125020"/>
    <n v="13752.2"/>
    <x v="456"/>
    <n v="61.6325"/>
    <n v="204820"/>
    <n v="-93552.2"/>
    <n v="-168.39395999999999"/>
  </r>
  <r>
    <x v="0"/>
    <x v="0"/>
    <x v="5"/>
    <s v="CUST_ID_073"/>
    <s v="PROD_ID_006"/>
    <x v="70"/>
    <s v="High"/>
    <d v="2020-11-07T00:00:00"/>
    <x v="6"/>
    <x v="3"/>
    <x v="0"/>
    <n v="3798"/>
    <n v="320"/>
    <n v="188"/>
    <n v="714024"/>
    <n v="78542.64"/>
    <x v="457"/>
    <n v="352.10624999999999"/>
    <n v="1215360"/>
    <n v="-579878.64"/>
    <n v="-1043.7815519999999"/>
  </r>
  <r>
    <x v="3"/>
    <x v="4"/>
    <x v="5"/>
    <s v="CUST_ID_093"/>
    <s v="PROD_ID_006"/>
    <x v="56"/>
    <s v="High"/>
    <d v="2021-04-26T00:00:00"/>
    <x v="5"/>
    <x v="2"/>
    <x v="1"/>
    <n v="3155"/>
    <n v="320"/>
    <n v="30"/>
    <n v="94650"/>
    <n v="10411.5"/>
    <x v="458"/>
    <n v="46.796199999999999"/>
    <n v="1009600"/>
    <n v="-925361.5"/>
    <n v="-1665.6506999999999"/>
  </r>
  <r>
    <x v="0"/>
    <x v="1"/>
    <x v="5"/>
    <s v="CUST_ID_138"/>
    <s v="PROD_ID_006"/>
    <x v="83"/>
    <s v="High"/>
    <d v="2020-07-21T00:00:00"/>
    <x v="3"/>
    <x v="0"/>
    <x v="0"/>
    <n v="1720"/>
    <n v="320"/>
    <n v="188"/>
    <n v="323360"/>
    <n v="35569.599999999999"/>
    <x v="459"/>
    <n v="159.42124999999999"/>
    <n v="550400"/>
    <n v="-262609.59999999998"/>
    <n v="-472.69727999999992"/>
  </r>
  <r>
    <x v="1"/>
    <x v="7"/>
    <x v="5"/>
    <s v="CUST_ID_104"/>
    <s v="PROD_ID_006"/>
    <x v="92"/>
    <s v="High"/>
    <d v="2020-10-27T00:00:00"/>
    <x v="9"/>
    <x v="3"/>
    <x v="0"/>
    <n v="2588"/>
    <n v="320"/>
    <n v="23"/>
    <n v="59524"/>
    <n v="6547.64"/>
    <x v="445"/>
    <n v="28.795950000000001"/>
    <n v="828160"/>
    <n v="-775183.64"/>
    <n v="-1395.3305519999999"/>
  </r>
  <r>
    <x v="3"/>
    <x v="1"/>
    <x v="4"/>
    <s v="CUST_ID_066"/>
    <s v="PROD_ID_005"/>
    <x v="64"/>
    <s v="High"/>
    <d v="2021-12-07T00:00:00"/>
    <x v="7"/>
    <x v="3"/>
    <x v="1"/>
    <n v="1063"/>
    <n v="4"/>
    <n v="525"/>
    <n v="558075"/>
    <n v="66969"/>
    <x v="460"/>
    <n v="272.88799999999998"/>
    <n v="4252"/>
    <n v="486854"/>
    <n v="876.33719999999994"/>
  </r>
  <r>
    <x v="0"/>
    <x v="3"/>
    <x v="4"/>
    <s v="CUST_ID_100"/>
    <s v="PROD_ID_005"/>
    <x v="73"/>
    <s v="High"/>
    <d v="2020-10-18T00:00:00"/>
    <x v="9"/>
    <x v="3"/>
    <x v="0"/>
    <n v="2587"/>
    <n v="4"/>
    <n v="188"/>
    <n v="486356"/>
    <n v="58362.720000000001"/>
    <x v="461"/>
    <n v="237.16"/>
    <n v="10348"/>
    <n v="417645.28"/>
    <n v="751.76150400000006"/>
  </r>
  <r>
    <x v="1"/>
    <x v="1"/>
    <x v="4"/>
    <s v="CUST_ID_090"/>
    <s v="PROD_ID_005"/>
    <x v="83"/>
    <s v="High"/>
    <d v="2020-06-16T00:00:00"/>
    <x v="11"/>
    <x v="2"/>
    <x v="0"/>
    <n v="3227"/>
    <n v="4"/>
    <n v="23"/>
    <n v="74221"/>
    <n v="8906.52"/>
    <x v="462"/>
    <n v="35.494800000000005"/>
    <n v="12908"/>
    <n v="52406.479999999996"/>
    <n v="94.331663999999989"/>
  </r>
  <r>
    <x v="1"/>
    <x v="0"/>
    <x v="0"/>
    <s v="CUST_ID_113"/>
    <s v="PROD_ID_001"/>
    <x v="82"/>
    <s v="High"/>
    <d v="2021-11-02T00:00:00"/>
    <x v="6"/>
    <x v="3"/>
    <x v="1"/>
    <n v="812"/>
    <n v="6"/>
    <n v="23"/>
    <n v="18676"/>
    <n v="2241.12"/>
    <x v="463"/>
    <n v="8.936399999999999"/>
    <n v="4872"/>
    <n v="11562.880000000001"/>
    <n v="20.813184"/>
  </r>
  <r>
    <x v="2"/>
    <x v="5"/>
    <x v="0"/>
    <s v="CUST_ID_078"/>
    <s v="PROD_ID_001"/>
    <x v="75"/>
    <s v="High"/>
    <d v="2021-12-03T00:00:00"/>
    <x v="7"/>
    <x v="3"/>
    <x v="1"/>
    <n v="2128"/>
    <n v="6"/>
    <n v="450"/>
    <n v="957600"/>
    <n v="114912"/>
    <x v="464"/>
    <n v="468.072"/>
    <n v="12768"/>
    <n v="829920"/>
    <n v="1493.856"/>
  </r>
  <r>
    <x v="3"/>
    <x v="0"/>
    <x v="0"/>
    <s v="CUST_ID_049"/>
    <s v="PROD_ID_001"/>
    <x v="48"/>
    <s v="High"/>
    <d v="2020-12-02T00:00:00"/>
    <x v="7"/>
    <x v="3"/>
    <x v="0"/>
    <n v="2904"/>
    <n v="6"/>
    <n v="11"/>
    <n v="31944"/>
    <n v="3833.2799999999997"/>
    <x v="465"/>
    <n v="14.907200000000001"/>
    <n v="17424"/>
    <n v="10686.720000000001"/>
    <n v="19.236096"/>
  </r>
  <r>
    <x v="3"/>
    <x v="2"/>
    <x v="0"/>
    <s v="CUST_ID_043"/>
    <s v="PROD_ID_001"/>
    <x v="42"/>
    <s v="High"/>
    <d v="2021-05-07T00:00:00"/>
    <x v="10"/>
    <x v="2"/>
    <x v="1"/>
    <n v="3281"/>
    <n v="6"/>
    <n v="11"/>
    <n v="36091"/>
    <n v="4330.92"/>
    <x v="466"/>
    <n v="16.841439999999999"/>
    <n v="19686"/>
    <n v="12074.080000000002"/>
    <n v="21.733344000000002"/>
  </r>
  <r>
    <x v="2"/>
    <x v="3"/>
    <x v="1"/>
    <s v="CUST_ID_116"/>
    <s v="PROD_ID_002"/>
    <x v="85"/>
    <s v="High"/>
    <d v="2021-09-03T00:00:00"/>
    <x v="0"/>
    <x v="0"/>
    <x v="1"/>
    <n v="4194"/>
    <n v="12"/>
    <n v="450"/>
    <n v="1887300"/>
    <n v="226476"/>
    <x v="467"/>
    <n v="922.68"/>
    <n v="50328"/>
    <n v="1610496"/>
    <n v="2898.8928000000001"/>
  </r>
  <r>
    <x v="3"/>
    <x v="7"/>
    <x v="1"/>
    <s v="CUST_ID_040"/>
    <s v="PROD_ID_002"/>
    <x v="39"/>
    <s v="High"/>
    <d v="2020-06-26T00:00:00"/>
    <x v="11"/>
    <x v="2"/>
    <x v="0"/>
    <n v="1063"/>
    <n v="12"/>
    <n v="525"/>
    <n v="558075"/>
    <n v="66969"/>
    <x v="460"/>
    <n v="272.88799999999998"/>
    <n v="12756"/>
    <n v="478350"/>
    <n v="861.03"/>
  </r>
  <r>
    <x v="0"/>
    <x v="7"/>
    <x v="1"/>
    <s v="CUST_ID_024"/>
    <s v="PROD_ID_002"/>
    <x v="23"/>
    <s v="High"/>
    <d v="2020-06-24T00:00:00"/>
    <x v="11"/>
    <x v="2"/>
    <x v="0"/>
    <n v="2587"/>
    <n v="12"/>
    <n v="188"/>
    <n v="486356"/>
    <n v="58362.720000000001"/>
    <x v="461"/>
    <n v="237.16"/>
    <n v="31044"/>
    <n v="396949.28"/>
    <n v="714.50870400000008"/>
  </r>
  <r>
    <x v="3"/>
    <x v="7"/>
    <x v="1"/>
    <s v="CUST_ID_040"/>
    <s v="PROD_ID_002"/>
    <x v="39"/>
    <s v="High"/>
    <d v="2021-05-02T00:00:00"/>
    <x v="10"/>
    <x v="2"/>
    <x v="1"/>
    <n v="1086"/>
    <n v="12"/>
    <n v="30"/>
    <n v="32580"/>
    <n v="3909.6"/>
    <x v="468"/>
    <n v="15.928000000000001"/>
    <n v="13032"/>
    <n v="15638.400000000001"/>
    <n v="28.149120000000003"/>
  </r>
  <r>
    <x v="3"/>
    <x v="3"/>
    <x v="1"/>
    <s v="CUST_ID_052"/>
    <s v="PROD_ID_002"/>
    <x v="51"/>
    <s v="High"/>
    <d v="2020-07-12T00:00:00"/>
    <x v="3"/>
    <x v="0"/>
    <x v="0"/>
    <n v="1913"/>
    <n v="12"/>
    <n v="525"/>
    <n v="1004325"/>
    <n v="120519"/>
    <x v="469"/>
    <n v="490.952"/>
    <n v="22956"/>
    <n v="860850"/>
    <n v="1549.53"/>
  </r>
  <r>
    <x v="2"/>
    <x v="4"/>
    <x v="1"/>
    <s v="CUST_ID_069"/>
    <s v="PROD_ID_002"/>
    <x v="56"/>
    <s v="High"/>
    <d v="2020-10-25T00:00:00"/>
    <x v="9"/>
    <x v="3"/>
    <x v="0"/>
    <n v="1631"/>
    <n v="12"/>
    <n v="450"/>
    <n v="733950"/>
    <n v="88074"/>
    <x v="470"/>
    <n v="358.77600000000001"/>
    <n v="19572"/>
    <n v="626304"/>
    <n v="1127.3471999999999"/>
  </r>
  <r>
    <x v="2"/>
    <x v="2"/>
    <x v="1"/>
    <s v="CUST_ID_003"/>
    <s v="PROD_ID_002"/>
    <x v="2"/>
    <s v="High"/>
    <d v="2021-04-23T00:00:00"/>
    <x v="5"/>
    <x v="2"/>
    <x v="1"/>
    <n v="2580"/>
    <n v="12"/>
    <n v="450"/>
    <n v="1161000"/>
    <n v="139320"/>
    <x v="471"/>
    <n v="567.6"/>
    <n v="30960"/>
    <n v="990720"/>
    <n v="1783.296"/>
  </r>
  <r>
    <x v="3"/>
    <x v="7"/>
    <x v="1"/>
    <s v="CUST_ID_040"/>
    <s v="PROD_ID_002"/>
    <x v="39"/>
    <s v="High"/>
    <d v="2021-03-27T00:00:00"/>
    <x v="8"/>
    <x v="1"/>
    <x v="1"/>
    <n v="1436"/>
    <n v="12"/>
    <n v="525"/>
    <n v="753900"/>
    <n v="90468"/>
    <x v="472"/>
    <n v="368.67599999999999"/>
    <n v="17232"/>
    <n v="646200"/>
    <n v="1163.1599999999999"/>
  </r>
  <r>
    <x v="3"/>
    <x v="7"/>
    <x v="1"/>
    <s v="CUST_ID_040"/>
    <s v="PROD_ID_002"/>
    <x v="39"/>
    <s v="High"/>
    <d v="2021-07-22T00:00:00"/>
    <x v="3"/>
    <x v="0"/>
    <x v="1"/>
    <n v="1480"/>
    <n v="12"/>
    <n v="30"/>
    <n v="44400"/>
    <n v="5328"/>
    <x v="473"/>
    <n v="21.700800000000001"/>
    <n v="17760"/>
    <n v="21312"/>
    <n v="38.361599999999996"/>
  </r>
  <r>
    <x v="3"/>
    <x v="6"/>
    <x v="2"/>
    <s v="CUST_ID_031"/>
    <s v="PROD_ID_003"/>
    <x v="30"/>
    <s v="High"/>
    <d v="2021-02-06T00:00:00"/>
    <x v="4"/>
    <x v="1"/>
    <x v="1"/>
    <n v="1674"/>
    <n v="148"/>
    <n v="525"/>
    <n v="878850"/>
    <n v="105462"/>
    <x v="474"/>
    <n v="429.66"/>
    <n v="247752"/>
    <n v="525636"/>
    <n v="946.14479999999992"/>
  </r>
  <r>
    <x v="3"/>
    <x v="0"/>
    <x v="2"/>
    <s v="CUST_ID_041"/>
    <s v="PROD_ID_003"/>
    <x v="40"/>
    <s v="High"/>
    <d v="2021-12-19T00:00:00"/>
    <x v="7"/>
    <x v="3"/>
    <x v="1"/>
    <n v="1183"/>
    <n v="148"/>
    <n v="525"/>
    <n v="621075"/>
    <n v="74529"/>
    <x v="475"/>
    <n v="303.68799999999999"/>
    <n v="175084"/>
    <n v="371462"/>
    <n v="668.63159999999993"/>
  </r>
  <r>
    <x v="3"/>
    <x v="6"/>
    <x v="2"/>
    <s v="CUST_ID_031"/>
    <s v="PROD_ID_003"/>
    <x v="30"/>
    <s v="High"/>
    <d v="2021-10-26T00:00:00"/>
    <x v="9"/>
    <x v="3"/>
    <x v="1"/>
    <n v="1086"/>
    <n v="148"/>
    <n v="30"/>
    <n v="32580"/>
    <n v="3909.6"/>
    <x v="468"/>
    <n v="15.928000000000001"/>
    <n v="160728"/>
    <n v="-132057.60000000001"/>
    <n v="-237.70367999999999"/>
  </r>
  <r>
    <x v="4"/>
    <x v="5"/>
    <x v="3"/>
    <s v="CUST_ID_142"/>
    <s v="PROD_ID_004"/>
    <x v="86"/>
    <s v="High"/>
    <d v="2021-01-04T00:00:00"/>
    <x v="1"/>
    <x v="1"/>
    <x v="1"/>
    <n v="2531"/>
    <n v="308"/>
    <n v="18"/>
    <n v="45558"/>
    <n v="5466.96"/>
    <x v="476"/>
    <n v="22.271039999999999"/>
    <n v="779548"/>
    <n v="-739456.96"/>
    <n v="-1331.022528"/>
  </r>
  <r>
    <x v="1"/>
    <x v="6"/>
    <x v="3"/>
    <s v="CUST_ID_087"/>
    <s v="PROD_ID_004"/>
    <x v="50"/>
    <s v="High"/>
    <d v="2020-12-22T00:00:00"/>
    <x v="7"/>
    <x v="3"/>
    <x v="0"/>
    <n v="4649"/>
    <n v="308"/>
    <n v="23"/>
    <n v="106927"/>
    <n v="12831.24"/>
    <x v="477"/>
    <n v="51.143399999999993"/>
    <n v="1431892"/>
    <n v="-1337796.24"/>
    <n v="-2408.0332319999998"/>
  </r>
  <r>
    <x v="3"/>
    <x v="0"/>
    <x v="3"/>
    <s v="CUST_ID_033"/>
    <s v="PROD_ID_004"/>
    <x v="32"/>
    <s v="High"/>
    <d v="2021-01-07T00:00:00"/>
    <x v="1"/>
    <x v="1"/>
    <x v="1"/>
    <n v="1183"/>
    <n v="308"/>
    <n v="525"/>
    <n v="621075"/>
    <n v="74529"/>
    <x v="475"/>
    <n v="303.68799999999999"/>
    <n v="364364"/>
    <n v="182182"/>
    <n v="327.92759999999998"/>
  </r>
  <r>
    <x v="0"/>
    <x v="4"/>
    <x v="3"/>
    <s v="CUST_ID_117"/>
    <s v="PROD_ID_004"/>
    <x v="56"/>
    <s v="High"/>
    <d v="2021-12-22T00:00:00"/>
    <x v="7"/>
    <x v="3"/>
    <x v="1"/>
    <n v="2864"/>
    <n v="308"/>
    <n v="188"/>
    <n v="538432"/>
    <n v="64611.839999999997"/>
    <x v="478"/>
    <n v="262.57"/>
    <n v="882112"/>
    <n v="-408291.83999999997"/>
    <n v="-734.92531199999996"/>
  </r>
  <r>
    <x v="3"/>
    <x v="1"/>
    <x v="3"/>
    <s v="CUST_ID_034"/>
    <s v="PROD_ID_004"/>
    <x v="33"/>
    <s v="High"/>
    <d v="2020-04-17T00:00:00"/>
    <x v="5"/>
    <x v="2"/>
    <x v="0"/>
    <n v="1480"/>
    <n v="308"/>
    <n v="30"/>
    <n v="44400"/>
    <n v="5328"/>
    <x v="473"/>
    <n v="21.700800000000001"/>
    <n v="455840"/>
    <n v="-416768"/>
    <n v="-750.18240000000003"/>
  </r>
  <r>
    <x v="3"/>
    <x v="7"/>
    <x v="5"/>
    <s v="CUST_ID_064"/>
    <s v="PROD_ID_006"/>
    <x v="62"/>
    <s v="High"/>
    <d v="2020-01-27T00:00:00"/>
    <x v="1"/>
    <x v="1"/>
    <x v="0"/>
    <n v="324"/>
    <n v="320"/>
    <n v="525"/>
    <n v="170100"/>
    <n v="20412"/>
    <x v="479"/>
    <n v="83.16"/>
    <n v="103680"/>
    <n v="46008"/>
    <n v="82.814399999999992"/>
  </r>
  <r>
    <x v="3"/>
    <x v="0"/>
    <x v="5"/>
    <s v="CUST_ID_065"/>
    <s v="PROD_ID_006"/>
    <x v="63"/>
    <s v="High"/>
    <d v="2021-01-13T00:00:00"/>
    <x v="1"/>
    <x v="1"/>
    <x v="1"/>
    <n v="4106"/>
    <n v="320"/>
    <n v="11"/>
    <n v="45166"/>
    <n v="5419.92"/>
    <x v="480"/>
    <n v="21.076439999999998"/>
    <n v="1313920"/>
    <n v="-1274173.92"/>
    <n v="-2293.5130559999998"/>
  </r>
  <r>
    <x v="3"/>
    <x v="6"/>
    <x v="5"/>
    <s v="CUST_ID_047"/>
    <s v="PROD_ID_006"/>
    <x v="46"/>
    <s v="High"/>
    <d v="2021-04-13T00:00:00"/>
    <x v="5"/>
    <x v="2"/>
    <x v="1"/>
    <n v="3281"/>
    <n v="320"/>
    <n v="11"/>
    <n v="36091"/>
    <n v="4330.92"/>
    <x v="466"/>
    <n v="16.841439999999999"/>
    <n v="1049920"/>
    <n v="-1018159.92"/>
    <n v="-1832.687856"/>
  </r>
  <r>
    <x v="3"/>
    <x v="4"/>
    <x v="4"/>
    <s v="CUST_ID_021"/>
    <s v="PROD_ID_005"/>
    <x v="20"/>
    <s v="High"/>
    <d v="2021-08-11T00:00:00"/>
    <x v="2"/>
    <x v="0"/>
    <x v="1"/>
    <n v="3026"/>
    <n v="4"/>
    <n v="30"/>
    <n v="90780"/>
    <n v="10893.6"/>
    <x v="481"/>
    <n v="44.378399999999992"/>
    <n v="12104"/>
    <n v="67782.399999999994"/>
    <n v="122.00831999999998"/>
  </r>
  <r>
    <x v="4"/>
    <x v="7"/>
    <x v="0"/>
    <s v="CUST_ID_120"/>
    <s v="PROD_ID_001"/>
    <x v="69"/>
    <s v="High"/>
    <d v="2020-07-12T00:00:00"/>
    <x v="3"/>
    <x v="0"/>
    <x v="0"/>
    <n v="3193"/>
    <n v="6"/>
    <n v="18"/>
    <n v="57474"/>
    <n v="6896.88"/>
    <x v="482"/>
    <n v="28.100159999999999"/>
    <n v="19158"/>
    <n v="31419.120000000003"/>
    <n v="56.554416000000003"/>
  </r>
  <r>
    <x v="3"/>
    <x v="7"/>
    <x v="1"/>
    <s v="CUST_ID_072"/>
    <s v="PROD_ID_002"/>
    <x v="69"/>
    <s v="High"/>
    <d v="2020-05-19T00:00:00"/>
    <x v="10"/>
    <x v="2"/>
    <x v="0"/>
    <n v="1837"/>
    <n v="12"/>
    <n v="30"/>
    <n v="55110"/>
    <n v="6613.2000000000007"/>
    <x v="483"/>
    <n v="26.945599999999999"/>
    <n v="22044"/>
    <n v="26452.800000000003"/>
    <n v="47.61504"/>
  </r>
  <r>
    <x v="3"/>
    <x v="7"/>
    <x v="3"/>
    <s v="CUST_ID_008"/>
    <s v="PROD_ID_004"/>
    <x v="7"/>
    <s v="High"/>
    <d v="2020-03-23T00:00:00"/>
    <x v="8"/>
    <x v="1"/>
    <x v="0"/>
    <n v="1789"/>
    <n v="308"/>
    <n v="11"/>
    <n v="19679"/>
    <n v="2361.48"/>
    <x v="484"/>
    <n v="9.1845599999999994"/>
    <n v="551012"/>
    <n v="-533694.48"/>
    <n v="-960.65006399999993"/>
  </r>
  <r>
    <x v="3"/>
    <x v="7"/>
    <x v="3"/>
    <s v="CUST_ID_056"/>
    <s v="PROD_ID_004"/>
    <x v="55"/>
    <s v="High"/>
    <d v="2020-09-16T00:00:00"/>
    <x v="0"/>
    <x v="0"/>
    <x v="0"/>
    <n v="1837"/>
    <n v="308"/>
    <n v="30"/>
    <n v="55110"/>
    <n v="6613.2000000000007"/>
    <x v="483"/>
    <n v="26.945599999999999"/>
    <n v="565796"/>
    <n v="-517299.20000000001"/>
    <n v="-931.13855999999998"/>
  </r>
  <r>
    <x v="1"/>
    <x v="7"/>
    <x v="4"/>
    <s v="CUST_ID_136"/>
    <s v="PROD_ID_005"/>
    <x v="81"/>
    <s v="High"/>
    <d v="2020-12-04T00:00:00"/>
    <x v="7"/>
    <x v="3"/>
    <x v="0"/>
    <n v="3080"/>
    <n v="4"/>
    <n v="23"/>
    <n v="70840"/>
    <n v="9209.1999999999989"/>
    <x v="485"/>
    <n v="33.49935"/>
    <n v="12320"/>
    <n v="49310.8"/>
    <n v="88.759439999999998"/>
  </r>
  <r>
    <x v="1"/>
    <x v="2"/>
    <x v="3"/>
    <s v="CUST_ID_139"/>
    <s v="PROD_ID_004"/>
    <x v="84"/>
    <s v="High"/>
    <d v="2020-06-21T00:00:00"/>
    <x v="11"/>
    <x v="2"/>
    <x v="0"/>
    <n v="3080"/>
    <n v="308"/>
    <n v="23"/>
    <n v="70840"/>
    <n v="9209.1999999999989"/>
    <x v="485"/>
    <n v="33.49935"/>
    <n v="948640"/>
    <n v="-887009.2"/>
    <n v="-1596.6165599999999"/>
  </r>
  <r>
    <x v="3"/>
    <x v="1"/>
    <x v="4"/>
    <s v="CUST_ID_042"/>
    <s v="PROD_ID_005"/>
    <x v="41"/>
    <s v="High"/>
    <d v="2021-04-08T00:00:00"/>
    <x v="5"/>
    <x v="2"/>
    <x v="1"/>
    <n v="1108"/>
    <n v="4"/>
    <n v="525"/>
    <n v="581700"/>
    <n v="75621"/>
    <x v="486"/>
    <n v="281.05349999999999"/>
    <n v="4432"/>
    <n v="501647"/>
    <n v="902.96460000000002"/>
  </r>
  <r>
    <x v="3"/>
    <x v="4"/>
    <x v="4"/>
    <s v="CUST_ID_021"/>
    <s v="PROD_ID_005"/>
    <x v="20"/>
    <s v="High"/>
    <d v="2020-07-27T00:00:00"/>
    <x v="3"/>
    <x v="0"/>
    <x v="0"/>
    <n v="2148"/>
    <n v="4"/>
    <n v="525"/>
    <n v="1127700"/>
    <n v="146601"/>
    <x v="487"/>
    <n v="545.05499999999995"/>
    <n v="8592"/>
    <n v="972507"/>
    <n v="1750.5126"/>
  </r>
  <r>
    <x v="3"/>
    <x v="2"/>
    <x v="0"/>
    <s v="CUST_ID_099"/>
    <s v="PROD_ID_001"/>
    <x v="72"/>
    <s v="High"/>
    <d v="2021-11-24T00:00:00"/>
    <x v="6"/>
    <x v="3"/>
    <x v="1"/>
    <n v="1179"/>
    <n v="6"/>
    <n v="525"/>
    <n v="618975"/>
    <n v="80466.75"/>
    <x v="488"/>
    <n v="299.17124999999999"/>
    <n v="7074"/>
    <n v="531434.25"/>
    <n v="956.58164999999997"/>
  </r>
  <r>
    <x v="3"/>
    <x v="2"/>
    <x v="0"/>
    <s v="CUST_ID_099"/>
    <s v="PROD_ID_001"/>
    <x v="72"/>
    <s v="High"/>
    <d v="2021-05-21T00:00:00"/>
    <x v="10"/>
    <x v="2"/>
    <x v="1"/>
    <n v="1558"/>
    <n v="6"/>
    <n v="11"/>
    <n v="17138"/>
    <n v="2227.94"/>
    <x v="489"/>
    <n v="7.90482"/>
    <n v="9348"/>
    <n v="5562.0599999999995"/>
    <n v="10.011707999999999"/>
  </r>
  <r>
    <x v="4"/>
    <x v="7"/>
    <x v="0"/>
    <s v="CUST_ID_120"/>
    <s v="PROD_ID_001"/>
    <x v="69"/>
    <s v="High"/>
    <d v="2020-07-10T00:00:00"/>
    <x v="3"/>
    <x v="0"/>
    <x v="0"/>
    <n v="725"/>
    <n v="6"/>
    <n v="18"/>
    <n v="13050"/>
    <n v="1696.5"/>
    <x v="490"/>
    <n v="6.3057600000000003"/>
    <n v="4350"/>
    <n v="7003.5"/>
    <n v="12.606299999999999"/>
  </r>
  <r>
    <x v="3"/>
    <x v="0"/>
    <x v="0"/>
    <s v="CUST_ID_049"/>
    <s v="PROD_ID_001"/>
    <x v="48"/>
    <s v="High"/>
    <d v="2021-03-21T00:00:00"/>
    <x v="8"/>
    <x v="1"/>
    <x v="1"/>
    <n v="2706"/>
    <n v="6"/>
    <n v="30"/>
    <n v="81180"/>
    <n v="10553.4"/>
    <x v="491"/>
    <n v="39.237000000000002"/>
    <n v="16236"/>
    <n v="54390.600000000006"/>
    <n v="97.903080000000003"/>
  </r>
  <r>
    <x v="3"/>
    <x v="2"/>
    <x v="0"/>
    <s v="CUST_ID_043"/>
    <s v="PROD_ID_001"/>
    <x v="42"/>
    <s v="High"/>
    <d v="2020-04-16T00:00:00"/>
    <x v="5"/>
    <x v="2"/>
    <x v="0"/>
    <n v="1499"/>
    <n v="6"/>
    <n v="30"/>
    <n v="44970"/>
    <n v="5846.1"/>
    <x v="492"/>
    <n v="21.732599999999998"/>
    <n v="8994"/>
    <n v="30129.9"/>
    <n v="54.233820000000001"/>
  </r>
  <r>
    <x v="3"/>
    <x v="2"/>
    <x v="1"/>
    <s v="CUST_ID_027"/>
    <s v="PROD_ID_002"/>
    <x v="26"/>
    <s v="High"/>
    <d v="2020-09-27T00:00:00"/>
    <x v="0"/>
    <x v="0"/>
    <x v="0"/>
    <n v="1726"/>
    <n v="12"/>
    <n v="11"/>
    <n v="18986"/>
    <n v="2468.1800000000003"/>
    <x v="493"/>
    <n v="8.7604649999999999"/>
    <n v="20712"/>
    <n v="-4194.18"/>
    <n v="-7.5495239999999999"/>
  </r>
  <r>
    <x v="2"/>
    <x v="4"/>
    <x v="1"/>
    <s v="CUST_ID_069"/>
    <s v="PROD_ID_002"/>
    <x v="56"/>
    <s v="High"/>
    <d v="2021-06-23T00:00:00"/>
    <x v="11"/>
    <x v="2"/>
    <x v="1"/>
    <n v="968"/>
    <n v="12"/>
    <n v="450"/>
    <n v="435600"/>
    <n v="56628"/>
    <x v="494"/>
    <n v="210.62700000000001"/>
    <n v="11616"/>
    <n v="367356"/>
    <n v="661.24080000000004"/>
  </r>
  <r>
    <x v="3"/>
    <x v="2"/>
    <x v="1"/>
    <s v="CUST_ID_027"/>
    <s v="PROD_ID_002"/>
    <x v="26"/>
    <s v="High"/>
    <d v="2021-01-22T00:00:00"/>
    <x v="1"/>
    <x v="1"/>
    <x v="1"/>
    <n v="3169"/>
    <n v="12"/>
    <n v="30"/>
    <n v="95070"/>
    <n v="12359.1"/>
    <x v="495"/>
    <n v="45.953400000000002"/>
    <n v="38028"/>
    <n v="44682.899999999994"/>
    <n v="80.429219999999987"/>
  </r>
  <r>
    <x v="3"/>
    <x v="7"/>
    <x v="1"/>
    <s v="CUST_ID_072"/>
    <s v="PROD_ID_002"/>
    <x v="69"/>
    <s v="High"/>
    <d v="2021-10-27T00:00:00"/>
    <x v="9"/>
    <x v="3"/>
    <x v="1"/>
    <n v="3250"/>
    <n v="12"/>
    <n v="30"/>
    <n v="97500"/>
    <n v="12675"/>
    <x v="496"/>
    <n v="47.119199999999999"/>
    <n v="39000"/>
    <n v="45825"/>
    <n v="82.484999999999999"/>
  </r>
  <r>
    <x v="3"/>
    <x v="3"/>
    <x v="1"/>
    <s v="CUST_ID_004"/>
    <s v="PROD_ID_002"/>
    <x v="3"/>
    <s v="High"/>
    <d v="2020-11-21T00:00:00"/>
    <x v="6"/>
    <x v="3"/>
    <x v="0"/>
    <n v="3158"/>
    <n v="12"/>
    <n v="525"/>
    <n v="1657950"/>
    <n v="215533.5"/>
    <x v="497"/>
    <n v="801.44399999999996"/>
    <n v="37896"/>
    <n v="1404520.5"/>
    <n v="2528.1369"/>
  </r>
  <r>
    <x v="0"/>
    <x v="1"/>
    <x v="1"/>
    <s v="CUST_ID_122"/>
    <s v="PROD_ID_002"/>
    <x v="71"/>
    <s v="High"/>
    <d v="2021-10-24T00:00:00"/>
    <x v="9"/>
    <x v="3"/>
    <x v="1"/>
    <n v="1900"/>
    <n v="12"/>
    <n v="188"/>
    <n v="357200"/>
    <n v="46436"/>
    <x v="498"/>
    <n v="172.15125"/>
    <n v="22800"/>
    <n v="287964"/>
    <n v="518.33519999999999"/>
  </r>
  <r>
    <x v="4"/>
    <x v="6"/>
    <x v="1"/>
    <s v="CUST_ID_071"/>
    <s v="PROD_ID_002"/>
    <x v="68"/>
    <s v="High"/>
    <d v="2020-08-30T00:00:00"/>
    <x v="2"/>
    <x v="0"/>
    <x v="0"/>
    <n v="685"/>
    <n v="12"/>
    <n v="18"/>
    <n v="12330"/>
    <n v="1602.9"/>
    <x v="499"/>
    <n v="5.9612400000000001"/>
    <n v="8220"/>
    <n v="2507.1000000000004"/>
    <n v="4.5127800000000002"/>
  </r>
  <r>
    <x v="3"/>
    <x v="3"/>
    <x v="1"/>
    <s v="CUST_ID_052"/>
    <s v="PROD_ID_002"/>
    <x v="51"/>
    <s v="High"/>
    <d v="2021-11-18T00:00:00"/>
    <x v="6"/>
    <x v="3"/>
    <x v="1"/>
    <n v="3235"/>
    <n v="12"/>
    <n v="11"/>
    <n v="35585"/>
    <n v="4626.05"/>
    <x v="500"/>
    <n v="16.41864"/>
    <n v="38820"/>
    <n v="-7861.0499999999993"/>
    <n v="-14.149889999999999"/>
  </r>
  <r>
    <x v="1"/>
    <x v="5"/>
    <x v="1"/>
    <s v="CUST_ID_006"/>
    <s v="PROD_ID_002"/>
    <x v="5"/>
    <s v="High"/>
    <d v="2021-01-29T00:00:00"/>
    <x v="1"/>
    <x v="1"/>
    <x v="1"/>
    <n v="1878"/>
    <n v="12"/>
    <n v="23"/>
    <n v="43194"/>
    <n v="5615.22"/>
    <x v="501"/>
    <n v="20.423249999999999"/>
    <n v="22536"/>
    <n v="15042.779999999999"/>
    <n v="27.077003999999999"/>
  </r>
  <r>
    <x v="3"/>
    <x v="3"/>
    <x v="1"/>
    <s v="CUST_ID_004"/>
    <s v="PROD_ID_002"/>
    <x v="3"/>
    <s v="High"/>
    <d v="2020-12-27T00:00:00"/>
    <x v="7"/>
    <x v="3"/>
    <x v="0"/>
    <n v="1499"/>
    <n v="12"/>
    <n v="30"/>
    <n v="44970"/>
    <n v="5846.1"/>
    <x v="492"/>
    <n v="21.732599999999998"/>
    <n v="17988"/>
    <n v="21135.9"/>
    <n v="38.044620000000002"/>
  </r>
  <r>
    <x v="3"/>
    <x v="7"/>
    <x v="1"/>
    <s v="CUST_ID_072"/>
    <s v="PROD_ID_002"/>
    <x v="69"/>
    <s v="High"/>
    <d v="2020-01-04T00:00:00"/>
    <x v="1"/>
    <x v="1"/>
    <x v="0"/>
    <n v="428"/>
    <n v="12"/>
    <n v="525"/>
    <n v="224700"/>
    <n v="29211"/>
    <x v="502"/>
    <n v="108.70650000000001"/>
    <n v="5136"/>
    <n v="190353"/>
    <n v="342.6354"/>
  </r>
  <r>
    <x v="4"/>
    <x v="5"/>
    <x v="1"/>
    <s v="CUST_ID_014"/>
    <s v="PROD_ID_002"/>
    <x v="13"/>
    <s v="High"/>
    <d v="2021-11-18T00:00:00"/>
    <x v="6"/>
    <x v="3"/>
    <x v="1"/>
    <n v="1216"/>
    <n v="12"/>
    <n v="18"/>
    <n v="21888"/>
    <n v="2845.44"/>
    <x v="503"/>
    <n v="10.575719999999999"/>
    <n v="14592"/>
    <n v="4450.5600000000013"/>
    <n v="8.0110080000000021"/>
  </r>
  <r>
    <x v="1"/>
    <x v="5"/>
    <x v="2"/>
    <s v="CUST_ID_150"/>
    <s v="PROD_ID_003"/>
    <x v="90"/>
    <s v="High"/>
    <d v="2020-12-22T00:00:00"/>
    <x v="7"/>
    <x v="3"/>
    <x v="0"/>
    <n v="4797"/>
    <n v="148"/>
    <n v="23"/>
    <n v="110331"/>
    <n v="14343.03"/>
    <x v="504"/>
    <n v="52.167375"/>
    <n v="709956"/>
    <n v="-613968.03"/>
    <n v="-1105.142454"/>
  </r>
  <r>
    <x v="3"/>
    <x v="7"/>
    <x v="2"/>
    <s v="CUST_ID_016"/>
    <s v="PROD_ID_003"/>
    <x v="15"/>
    <s v="High"/>
    <d v="2021-03-05T00:00:00"/>
    <x v="8"/>
    <x v="1"/>
    <x v="1"/>
    <n v="3158"/>
    <n v="148"/>
    <n v="525"/>
    <n v="1657950"/>
    <n v="215533.5"/>
    <x v="497"/>
    <n v="801.44399999999996"/>
    <n v="467384"/>
    <n v="975032.5"/>
    <n v="1755.0584999999999"/>
  </r>
  <r>
    <x v="3"/>
    <x v="5"/>
    <x v="2"/>
    <s v="CUST_ID_054"/>
    <s v="PROD_ID_003"/>
    <x v="53"/>
    <s v="High"/>
    <d v="2020-05-07T00:00:00"/>
    <x v="10"/>
    <x v="2"/>
    <x v="0"/>
    <n v="1428"/>
    <n v="148"/>
    <n v="11"/>
    <n v="15708"/>
    <n v="2042.04"/>
    <x v="505"/>
    <n v="7.2471000000000005"/>
    <n v="211344"/>
    <n v="-197678.04"/>
    <n v="-355.820472"/>
  </r>
  <r>
    <x v="4"/>
    <x v="3"/>
    <x v="2"/>
    <s v="CUST_ID_124"/>
    <s v="PROD_ID_003"/>
    <x v="73"/>
    <s v="High"/>
    <d v="2020-09-10T00:00:00"/>
    <x v="0"/>
    <x v="0"/>
    <x v="0"/>
    <n v="725"/>
    <n v="148"/>
    <n v="18"/>
    <n v="13050"/>
    <n v="1696.5"/>
    <x v="490"/>
    <n v="6.3057600000000003"/>
    <n v="107300"/>
    <n v="-95946.5"/>
    <n v="-172.7037"/>
  </r>
  <r>
    <x v="4"/>
    <x v="3"/>
    <x v="2"/>
    <s v="CUST_ID_124"/>
    <s v="PROD_ID_003"/>
    <x v="73"/>
    <s v="High"/>
    <d v="2021-02-14T00:00:00"/>
    <x v="4"/>
    <x v="1"/>
    <x v="1"/>
    <n v="492"/>
    <n v="148"/>
    <n v="18"/>
    <n v="8856"/>
    <n v="1151.28"/>
    <x v="506"/>
    <n v="4.2803999999999993"/>
    <n v="72816"/>
    <n v="-65111.28"/>
    <n v="-117.20030399999999"/>
  </r>
  <r>
    <x v="4"/>
    <x v="1"/>
    <x v="2"/>
    <s v="CUST_ID_114"/>
    <s v="PROD_ID_003"/>
    <x v="83"/>
    <s v="High"/>
    <d v="2021-08-17T00:00:00"/>
    <x v="2"/>
    <x v="0"/>
    <x v="1"/>
    <n v="1216"/>
    <n v="148"/>
    <n v="18"/>
    <n v="21888"/>
    <n v="2845.44"/>
    <x v="503"/>
    <n v="10.575719999999999"/>
    <n v="179968"/>
    <n v="-160925.44"/>
    <n v="-289.66579200000001"/>
  </r>
  <r>
    <x v="0"/>
    <x v="0"/>
    <x v="3"/>
    <s v="CUST_ID_105"/>
    <s v="PROD_ID_004"/>
    <x v="38"/>
    <s v="High"/>
    <d v="2020-09-14T00:00:00"/>
    <x v="0"/>
    <x v="0"/>
    <x v="0"/>
    <n v="1900"/>
    <n v="308"/>
    <n v="188"/>
    <n v="357200"/>
    <n v="46436"/>
    <x v="498"/>
    <n v="172.15125"/>
    <n v="585200"/>
    <n v="-274436"/>
    <n v="-493.98480000000001"/>
  </r>
  <r>
    <x v="1"/>
    <x v="0"/>
    <x v="3"/>
    <s v="CUST_ID_137"/>
    <s v="PROD_ID_004"/>
    <x v="82"/>
    <s v="High"/>
    <d v="2021-06-21T00:00:00"/>
    <x v="11"/>
    <x v="2"/>
    <x v="1"/>
    <n v="1878"/>
    <n v="308"/>
    <n v="23"/>
    <n v="43194"/>
    <n v="5615.22"/>
    <x v="501"/>
    <n v="20.423249999999999"/>
    <n v="578424"/>
    <n v="-540845.22"/>
    <n v="-973.52139599999987"/>
  </r>
  <r>
    <x v="0"/>
    <x v="6"/>
    <x v="5"/>
    <s v="CUST_ID_143"/>
    <s v="PROD_ID_006"/>
    <x v="87"/>
    <s v="High"/>
    <d v="2020-08-22T00:00:00"/>
    <x v="2"/>
    <x v="0"/>
    <x v="0"/>
    <n v="1991"/>
    <n v="320"/>
    <n v="188"/>
    <n v="374308"/>
    <n v="48660.04"/>
    <x v="507"/>
    <n v="180.41624999999999"/>
    <n v="637120"/>
    <n v="-311472.03999999998"/>
    <n v="-560.6496719999999"/>
  </r>
  <r>
    <x v="3"/>
    <x v="0"/>
    <x v="5"/>
    <s v="CUST_ID_065"/>
    <s v="PROD_ID_006"/>
    <x v="63"/>
    <s v="High"/>
    <d v="2021-02-17T00:00:00"/>
    <x v="4"/>
    <x v="1"/>
    <x v="1"/>
    <n v="1428"/>
    <n v="320"/>
    <n v="11"/>
    <n v="15708"/>
    <n v="2042.04"/>
    <x v="505"/>
    <n v="7.2471000000000005"/>
    <n v="456960"/>
    <n v="-443294.04"/>
    <n v="-797.92927199999997"/>
  </r>
  <r>
    <x v="4"/>
    <x v="3"/>
    <x v="5"/>
    <s v="CUST_ID_076"/>
    <s v="PROD_ID_006"/>
    <x v="73"/>
    <s v="High"/>
    <d v="2021-01-22T00:00:00"/>
    <x v="1"/>
    <x v="1"/>
    <x v="1"/>
    <n v="492"/>
    <n v="320"/>
    <n v="18"/>
    <n v="8856"/>
    <n v="1151.28"/>
    <x v="506"/>
    <n v="4.2803999999999993"/>
    <n v="157440"/>
    <n v="-149735.28"/>
    <n v="-269.523504"/>
  </r>
  <r>
    <x v="3"/>
    <x v="1"/>
    <x v="4"/>
    <s v="CUST_ID_066"/>
    <s v="PROD_ID_005"/>
    <x v="64"/>
    <s v="High"/>
    <d v="2020-03-03T00:00:00"/>
    <x v="8"/>
    <x v="1"/>
    <x v="0"/>
    <n v="3095"/>
    <n v="4"/>
    <n v="30"/>
    <n v="92850"/>
    <n v="12998.999999999998"/>
    <x v="508"/>
    <n v="44.358800000000002"/>
    <n v="12380"/>
    <n v="67471"/>
    <n v="121.4478"/>
  </r>
  <r>
    <x v="3"/>
    <x v="0"/>
    <x v="4"/>
    <s v="CUST_ID_057"/>
    <s v="PROD_ID_005"/>
    <x v="56"/>
    <s v="High"/>
    <d v="2021-09-21T00:00:00"/>
    <x v="0"/>
    <x v="0"/>
    <x v="1"/>
    <n v="2092"/>
    <n v="4"/>
    <n v="30"/>
    <n v="62760"/>
    <n v="8786.4"/>
    <x v="509"/>
    <n v="29.979599999999998"/>
    <n v="8368"/>
    <n v="45605.599999999999"/>
    <n v="82.09008"/>
  </r>
  <r>
    <x v="3"/>
    <x v="7"/>
    <x v="4"/>
    <s v="CUST_ID_048"/>
    <s v="PROD_ID_005"/>
    <x v="47"/>
    <s v="High"/>
    <d v="2020-11-07T00:00:00"/>
    <x v="6"/>
    <x v="3"/>
    <x v="0"/>
    <n v="336"/>
    <n v="4"/>
    <n v="11"/>
    <n v="3696"/>
    <n v="517.43999999999994"/>
    <x v="510"/>
    <n v="1.6856"/>
    <n v="1344"/>
    <n v="1834.56"/>
    <n v="3.3022079999999998"/>
  </r>
  <r>
    <x v="3"/>
    <x v="2"/>
    <x v="0"/>
    <s v="CUST_ID_059"/>
    <s v="PROD_ID_001"/>
    <x v="58"/>
    <s v="High"/>
    <d v="2020-05-03T00:00:00"/>
    <x v="10"/>
    <x v="2"/>
    <x v="0"/>
    <n v="352"/>
    <n v="6"/>
    <n v="11"/>
    <n v="3872"/>
    <n v="542.07999999999993"/>
    <x v="511"/>
    <n v="1.7638600000000002"/>
    <n v="2112"/>
    <n v="1217.92"/>
    <n v="2.192256"/>
  </r>
  <r>
    <x v="1"/>
    <x v="5"/>
    <x v="1"/>
    <s v="CUST_ID_038"/>
    <s v="PROD_ID_002"/>
    <x v="37"/>
    <s v="High"/>
    <d v="2020-09-23T00:00:00"/>
    <x v="0"/>
    <x v="0"/>
    <x v="0"/>
    <n v="334"/>
    <n v="12"/>
    <n v="23"/>
    <n v="7682"/>
    <n v="1075.4799999999998"/>
    <x v="512"/>
    <n v="3.5861999999999998"/>
    <n v="4008"/>
    <n v="2598.5200000000004"/>
    <n v="4.6773360000000004"/>
  </r>
  <r>
    <x v="3"/>
    <x v="3"/>
    <x v="1"/>
    <s v="CUST_ID_004"/>
    <s v="PROD_ID_002"/>
    <x v="3"/>
    <s v="High"/>
    <d v="2020-11-29T00:00:00"/>
    <x v="6"/>
    <x v="3"/>
    <x v="0"/>
    <n v="2914"/>
    <n v="12"/>
    <n v="30"/>
    <n v="87420"/>
    <n v="12238.8"/>
    <x v="513"/>
    <n v="41.761600000000001"/>
    <n v="34968"/>
    <n v="40213.199999999997"/>
    <n v="72.383759999999995"/>
  </r>
  <r>
    <x v="1"/>
    <x v="1"/>
    <x v="1"/>
    <s v="CUST_ID_026"/>
    <s v="PROD_ID_002"/>
    <x v="25"/>
    <s v="High"/>
    <d v="2021-02-20T00:00:00"/>
    <x v="4"/>
    <x v="1"/>
    <x v="1"/>
    <n v="2120"/>
    <n v="12"/>
    <n v="23"/>
    <n v="48760"/>
    <n v="6826.4"/>
    <x v="514"/>
    <n v="22.7943"/>
    <n v="25440"/>
    <n v="16493.599999999999"/>
    <n v="29.688479999999995"/>
  </r>
  <r>
    <x v="4"/>
    <x v="0"/>
    <x v="1"/>
    <s v="CUST_ID_025"/>
    <s v="PROD_ID_002"/>
    <x v="24"/>
    <s v="High"/>
    <d v="2020-11-24T00:00:00"/>
    <x v="6"/>
    <x v="3"/>
    <x v="0"/>
    <n v="1672"/>
    <n v="12"/>
    <n v="18"/>
    <n v="30096"/>
    <n v="4213.4399999999996"/>
    <x v="515"/>
    <n v="14.37576"/>
    <n v="20064"/>
    <n v="5818.5600000000013"/>
    <n v="10.473408000000003"/>
  </r>
  <r>
    <x v="3"/>
    <x v="7"/>
    <x v="3"/>
    <s v="CUST_ID_056"/>
    <s v="PROD_ID_004"/>
    <x v="55"/>
    <s v="High"/>
    <d v="2020-10-24T00:00:00"/>
    <x v="9"/>
    <x v="3"/>
    <x v="0"/>
    <n v="336"/>
    <n v="308"/>
    <n v="11"/>
    <n v="3696"/>
    <n v="517.43999999999994"/>
    <x v="510"/>
    <n v="1.6856"/>
    <n v="103488"/>
    <n v="-100309.44"/>
    <n v="-180.55699200000001"/>
  </r>
  <r>
    <x v="4"/>
    <x v="2"/>
    <x v="5"/>
    <s v="CUST_ID_083"/>
    <s v="PROD_ID_006"/>
    <x v="78"/>
    <s v="High"/>
    <d v="2021-11-30T00:00:00"/>
    <x v="6"/>
    <x v="3"/>
    <x v="1"/>
    <n v="1672"/>
    <n v="320"/>
    <n v="18"/>
    <n v="30096"/>
    <n v="4213.4399999999996"/>
    <x v="515"/>
    <n v="14.37576"/>
    <n v="535040"/>
    <n v="-509157.44"/>
    <n v="-916.48339199999998"/>
  </r>
  <r>
    <x v="2"/>
    <x v="2"/>
    <x v="4"/>
    <s v="CUST_ID_011"/>
    <s v="PROD_ID_005"/>
    <x v="10"/>
    <s v="High"/>
    <d v="2020-02-10T00:00:00"/>
    <x v="4"/>
    <x v="1"/>
    <x v="0"/>
    <n v="961"/>
    <n v="4"/>
    <n v="450"/>
    <n v="432450"/>
    <n v="60543.000000000007"/>
    <x v="516"/>
    <n v="206.65799999999999"/>
    <n v="3844"/>
    <n v="368063"/>
    <n v="662.51339999999993"/>
  </r>
  <r>
    <x v="2"/>
    <x v="1"/>
    <x v="4"/>
    <s v="CUST_ID_146"/>
    <s v="PROD_ID_005"/>
    <x v="71"/>
    <s v="High"/>
    <d v="2020-02-26T00:00:00"/>
    <x v="4"/>
    <x v="1"/>
    <x v="0"/>
    <n v="1795"/>
    <n v="4"/>
    <n v="450"/>
    <n v="807750"/>
    <n v="113085.00000000001"/>
    <x v="517"/>
    <n v="385.96800000000002"/>
    <n v="7180"/>
    <n v="687485"/>
    <n v="1237.473"/>
  </r>
  <r>
    <x v="2"/>
    <x v="5"/>
    <x v="4"/>
    <s v="CUST_ID_134"/>
    <s v="PROD_ID_005"/>
    <x v="49"/>
    <s v="High"/>
    <d v="2021-04-25T00:00:00"/>
    <x v="5"/>
    <x v="2"/>
    <x v="1"/>
    <n v="1212"/>
    <n v="4"/>
    <n v="450"/>
    <n v="545400"/>
    <n v="76356"/>
    <x v="518"/>
    <n v="260.58"/>
    <n v="4848"/>
    <n v="464196"/>
    <n v="835.55279999999993"/>
  </r>
  <r>
    <x v="1"/>
    <x v="2"/>
    <x v="4"/>
    <s v="CUST_ID_107"/>
    <s v="PROD_ID_005"/>
    <x v="93"/>
    <s v="High"/>
    <d v="2020-02-24T00:00:00"/>
    <x v="4"/>
    <x v="1"/>
    <x v="0"/>
    <n v="1816"/>
    <n v="4"/>
    <n v="23"/>
    <n v="41768"/>
    <n v="5847.52"/>
    <x v="519"/>
    <n v="19.517700000000001"/>
    <n v="7264"/>
    <n v="28656.479999999996"/>
    <n v="51.581663999999989"/>
  </r>
  <r>
    <x v="1"/>
    <x v="1"/>
    <x v="4"/>
    <s v="CUST_ID_090"/>
    <s v="PROD_ID_005"/>
    <x v="83"/>
    <s v="High"/>
    <d v="2021-06-03T00:00:00"/>
    <x v="11"/>
    <x v="2"/>
    <x v="1"/>
    <n v="2760"/>
    <n v="4"/>
    <n v="23"/>
    <n v="63480"/>
    <n v="8887.2000000000007"/>
    <x v="520"/>
    <n v="29.67"/>
    <n v="11040"/>
    <n v="43552.800000000003"/>
    <n v="78.395040000000009"/>
  </r>
  <r>
    <x v="3"/>
    <x v="2"/>
    <x v="0"/>
    <s v="CUST_ID_043"/>
    <s v="PROD_ID_001"/>
    <x v="42"/>
    <s v="High"/>
    <d v="2020-05-13T00:00:00"/>
    <x v="10"/>
    <x v="2"/>
    <x v="0"/>
    <n v="2673"/>
    <n v="6"/>
    <n v="525"/>
    <n v="1403325"/>
    <n v="196465.50000000003"/>
    <x v="521"/>
    <n v="670.47749999999996"/>
    <n v="16038"/>
    <n v="1190821.5"/>
    <n v="2143.4787000000001"/>
  </r>
  <r>
    <x v="3"/>
    <x v="4"/>
    <x v="0"/>
    <s v="CUST_ID_037"/>
    <s v="PROD_ID_001"/>
    <x v="36"/>
    <s v="High"/>
    <d v="2020-07-01T00:00:00"/>
    <x v="3"/>
    <x v="0"/>
    <x v="0"/>
    <n v="1439"/>
    <n v="6"/>
    <n v="525"/>
    <n v="755475"/>
    <n v="105766.50000000001"/>
    <x v="522"/>
    <n v="360.899"/>
    <n v="8634"/>
    <n v="641074.5"/>
    <n v="1153.9340999999999"/>
  </r>
  <r>
    <x v="3"/>
    <x v="2"/>
    <x v="0"/>
    <s v="CUST_ID_043"/>
    <s v="PROD_ID_001"/>
    <x v="42"/>
    <s v="High"/>
    <d v="2021-08-17T00:00:00"/>
    <x v="2"/>
    <x v="0"/>
    <x v="1"/>
    <n v="240"/>
    <n v="6"/>
    <n v="525"/>
    <n v="126000"/>
    <n v="17640"/>
    <x v="523"/>
    <n v="60.2"/>
    <n v="1440"/>
    <n v="106920"/>
    <n v="192.45599999999999"/>
  </r>
  <r>
    <x v="3"/>
    <x v="2"/>
    <x v="0"/>
    <s v="CUST_ID_043"/>
    <s v="PROD_ID_001"/>
    <x v="42"/>
    <s v="High"/>
    <d v="2021-10-08T00:00:00"/>
    <x v="9"/>
    <x v="3"/>
    <x v="1"/>
    <n v="466"/>
    <n v="6"/>
    <n v="11"/>
    <n v="5126"/>
    <n v="717.6400000000001"/>
    <x v="524"/>
    <n v="2.3357600000000001"/>
    <n v="2796"/>
    <n v="1612.3599999999997"/>
    <n v="2.9022479999999993"/>
  </r>
  <r>
    <x v="1"/>
    <x v="2"/>
    <x v="0"/>
    <s v="CUST_ID_131"/>
    <s v="PROD_ID_001"/>
    <x v="93"/>
    <s v="High"/>
    <d v="2021-02-04T00:00:00"/>
    <x v="4"/>
    <x v="1"/>
    <x v="1"/>
    <n v="2760"/>
    <n v="6"/>
    <n v="23"/>
    <n v="63480"/>
    <n v="8887.2000000000007"/>
    <x v="520"/>
    <n v="29.67"/>
    <n v="16560"/>
    <n v="38032.800000000003"/>
    <n v="68.459040000000002"/>
  </r>
  <r>
    <x v="3"/>
    <x v="7"/>
    <x v="1"/>
    <s v="CUST_ID_040"/>
    <s v="PROD_ID_002"/>
    <x v="39"/>
    <s v="High"/>
    <d v="2020-09-23T00:00:00"/>
    <x v="0"/>
    <x v="0"/>
    <x v="0"/>
    <n v="312"/>
    <n v="12"/>
    <n v="30"/>
    <n v="9360"/>
    <n v="1310.4000000000001"/>
    <x v="525"/>
    <n v="4.4720000000000004"/>
    <n v="3744"/>
    <n v="4305.6000000000004"/>
    <n v="7.7500800000000005"/>
  </r>
  <r>
    <x v="4"/>
    <x v="4"/>
    <x v="1"/>
    <s v="CUST_ID_005"/>
    <s v="PROD_ID_002"/>
    <x v="4"/>
    <s v="High"/>
    <d v="2021-11-26T00:00:00"/>
    <x v="6"/>
    <x v="3"/>
    <x v="1"/>
    <n v="3497"/>
    <n v="12"/>
    <n v="18"/>
    <n v="62946"/>
    <n v="8812.44"/>
    <x v="526"/>
    <n v="30.072479999999999"/>
    <n v="41964"/>
    <n v="12169.559999999998"/>
    <n v="21.905207999999995"/>
  </r>
  <r>
    <x v="3"/>
    <x v="3"/>
    <x v="1"/>
    <s v="CUST_ID_052"/>
    <s v="PROD_ID_002"/>
    <x v="51"/>
    <s v="High"/>
    <d v="2020-12-17T00:00:00"/>
    <x v="7"/>
    <x v="3"/>
    <x v="0"/>
    <n v="2077"/>
    <n v="12"/>
    <n v="11"/>
    <n v="22847"/>
    <n v="3198.5800000000004"/>
    <x v="527"/>
    <n v="10.42062"/>
    <n v="24924"/>
    <n v="-5275.5800000000017"/>
    <n v="-9.496044000000003"/>
  </r>
  <r>
    <x v="3"/>
    <x v="3"/>
    <x v="1"/>
    <s v="CUST_ID_004"/>
    <s v="PROD_ID_002"/>
    <x v="3"/>
    <s v="High"/>
    <d v="2020-07-10T00:00:00"/>
    <x v="3"/>
    <x v="0"/>
    <x v="0"/>
    <n v="840"/>
    <n v="12"/>
    <n v="525"/>
    <n v="441000"/>
    <n v="61740.000000000007"/>
    <x v="528"/>
    <n v="210.7"/>
    <n v="10080"/>
    <n v="369180"/>
    <n v="664.524"/>
  </r>
  <r>
    <x v="3"/>
    <x v="2"/>
    <x v="1"/>
    <s v="CUST_ID_027"/>
    <s v="PROD_ID_002"/>
    <x v="26"/>
    <s v="High"/>
    <d v="2020-12-13T00:00:00"/>
    <x v="7"/>
    <x v="3"/>
    <x v="0"/>
    <n v="1412"/>
    <n v="12"/>
    <n v="525"/>
    <n v="741300"/>
    <n v="103782.00000000001"/>
    <x v="529"/>
    <n v="354.27699999999999"/>
    <n v="16944"/>
    <n v="620574"/>
    <n v="1117.0332000000001"/>
  </r>
  <r>
    <x v="0"/>
    <x v="5"/>
    <x v="2"/>
    <s v="CUST_ID_030"/>
    <s v="PROD_ID_003"/>
    <x v="29"/>
    <s v="High"/>
    <d v="2021-10-08T00:00:00"/>
    <x v="9"/>
    <x v="3"/>
    <x v="1"/>
    <n v="1890"/>
    <n v="148"/>
    <n v="188"/>
    <n v="355320"/>
    <n v="49744.800000000003"/>
    <x v="530"/>
    <n v="169.3125"/>
    <n v="279720"/>
    <n v="25855.200000000012"/>
    <n v="46.539360000000016"/>
  </r>
  <r>
    <x v="3"/>
    <x v="0"/>
    <x v="2"/>
    <s v="CUST_ID_041"/>
    <s v="PROD_ID_003"/>
    <x v="40"/>
    <s v="High"/>
    <d v="2021-09-14T00:00:00"/>
    <x v="0"/>
    <x v="0"/>
    <x v="1"/>
    <n v="727"/>
    <n v="148"/>
    <n v="30"/>
    <n v="21810"/>
    <n v="3053.4"/>
    <x v="531"/>
    <n v="10.423200000000001"/>
    <n v="107596"/>
    <n v="-88839.4"/>
    <n v="-159.91091999999998"/>
  </r>
  <r>
    <x v="2"/>
    <x v="5"/>
    <x v="2"/>
    <s v="CUST_ID_086"/>
    <s v="PROD_ID_003"/>
    <x v="49"/>
    <s v="High"/>
    <d v="2020-01-20T00:00:00"/>
    <x v="1"/>
    <x v="1"/>
    <x v="0"/>
    <n v="2952"/>
    <n v="148"/>
    <n v="450"/>
    <n v="1328400"/>
    <n v="185976.00000000003"/>
    <x v="532"/>
    <n v="634.67999999999995"/>
    <n v="436896"/>
    <n v="705528"/>
    <n v="1269.9503999999999"/>
  </r>
  <r>
    <x v="3"/>
    <x v="1"/>
    <x v="3"/>
    <s v="CUST_ID_034"/>
    <s v="PROD_ID_004"/>
    <x v="33"/>
    <s v="High"/>
    <d v="2021-02-07T00:00:00"/>
    <x v="4"/>
    <x v="1"/>
    <x v="1"/>
    <n v="3484"/>
    <n v="308"/>
    <n v="11"/>
    <n v="38324"/>
    <n v="5365.3600000000006"/>
    <x v="533"/>
    <n v="17.47606"/>
    <n v="1073072"/>
    <n v="-1040113.36"/>
    <n v="-1872.2040479999998"/>
  </r>
  <r>
    <x v="2"/>
    <x v="2"/>
    <x v="3"/>
    <s v="CUST_ID_075"/>
    <s v="PROD_ID_004"/>
    <x v="72"/>
    <s v="High"/>
    <d v="2020-07-09T00:00:00"/>
    <x v="3"/>
    <x v="0"/>
    <x v="0"/>
    <n v="3049"/>
    <n v="308"/>
    <n v="450"/>
    <n v="1372050"/>
    <n v="192087.00000000003"/>
    <x v="534"/>
    <n v="655.57799999999997"/>
    <n v="939092"/>
    <n v="240871"/>
    <n v="433.56779999999998"/>
  </r>
  <r>
    <x v="2"/>
    <x v="6"/>
    <x v="3"/>
    <s v="CUST_ID_063"/>
    <s v="PROD_ID_004"/>
    <x v="61"/>
    <s v="High"/>
    <d v="2021-08-25T00:00:00"/>
    <x v="2"/>
    <x v="0"/>
    <x v="1"/>
    <n v="1795"/>
    <n v="308"/>
    <n v="450"/>
    <n v="807750"/>
    <n v="113085.00000000001"/>
    <x v="517"/>
    <n v="385.96800000000002"/>
    <n v="552860"/>
    <n v="141805"/>
    <n v="255.249"/>
  </r>
  <r>
    <x v="2"/>
    <x v="2"/>
    <x v="3"/>
    <s v="CUST_ID_075"/>
    <s v="PROD_ID_004"/>
    <x v="72"/>
    <s v="High"/>
    <d v="2021-05-16T00:00:00"/>
    <x v="10"/>
    <x v="2"/>
    <x v="1"/>
    <n v="1212"/>
    <n v="308"/>
    <n v="450"/>
    <n v="545400"/>
    <n v="76356"/>
    <x v="518"/>
    <n v="260.58"/>
    <n v="373296"/>
    <n v="95748"/>
    <n v="172.34639999999999"/>
  </r>
  <r>
    <x v="2"/>
    <x v="7"/>
    <x v="5"/>
    <s v="CUST_ID_128"/>
    <s v="PROD_ID_006"/>
    <x v="92"/>
    <s v="High"/>
    <d v="2020-11-06T00:00:00"/>
    <x v="6"/>
    <x v="3"/>
    <x v="0"/>
    <n v="1066"/>
    <n v="320"/>
    <n v="450"/>
    <n v="479700"/>
    <n v="67158"/>
    <x v="535"/>
    <n v="229.10400000000001"/>
    <n v="341120"/>
    <n v="71422"/>
    <n v="128.55959999999999"/>
  </r>
  <r>
    <x v="0"/>
    <x v="3"/>
    <x v="5"/>
    <s v="CUST_ID_148"/>
    <s v="PROD_ID_006"/>
    <x v="73"/>
    <s v="High"/>
    <d v="2020-09-19T00:00:00"/>
    <x v="0"/>
    <x v="0"/>
    <x v="0"/>
    <n v="3413"/>
    <n v="320"/>
    <n v="188"/>
    <n v="641644"/>
    <n v="89830.16"/>
    <x v="536"/>
    <n v="305.73"/>
    <n v="1092160"/>
    <n v="-540346.16"/>
    <n v="-972.62308800000005"/>
  </r>
  <r>
    <x v="4"/>
    <x v="2"/>
    <x v="5"/>
    <s v="CUST_ID_083"/>
    <s v="PROD_ID_006"/>
    <x v="78"/>
    <s v="High"/>
    <d v="2020-06-10T00:00:00"/>
    <x v="11"/>
    <x v="2"/>
    <x v="0"/>
    <n v="2970"/>
    <n v="320"/>
    <n v="18"/>
    <n v="53460"/>
    <n v="7484.4000000000005"/>
    <x v="537"/>
    <n v="25.542000000000002"/>
    <n v="950400"/>
    <n v="-904424.4"/>
    <n v="-1627.9639199999999"/>
  </r>
  <r>
    <x v="4"/>
    <x v="1"/>
    <x v="5"/>
    <s v="CUST_ID_018"/>
    <s v="PROD_ID_006"/>
    <x v="17"/>
    <s v="High"/>
    <d v="2021-06-16T00:00:00"/>
    <x v="11"/>
    <x v="2"/>
    <x v="1"/>
    <n v="3497"/>
    <n v="320"/>
    <n v="18"/>
    <n v="62946"/>
    <n v="8812.44"/>
    <x v="526"/>
    <n v="30.072479999999999"/>
    <n v="1119040"/>
    <n v="-1064906.44"/>
    <n v="-1916.8315919999998"/>
  </r>
  <r>
    <x v="3"/>
    <x v="0"/>
    <x v="5"/>
    <s v="CUST_ID_065"/>
    <s v="PROD_ID_006"/>
    <x v="63"/>
    <s v="High"/>
    <d v="2020-04-18T00:00:00"/>
    <x v="5"/>
    <x v="2"/>
    <x v="0"/>
    <n v="2077"/>
    <n v="320"/>
    <n v="11"/>
    <n v="22847"/>
    <n v="3198.5800000000004"/>
    <x v="527"/>
    <n v="10.42062"/>
    <n v="664640"/>
    <n v="-644991.57999999996"/>
    <n v="-1160.9848439999998"/>
  </r>
  <r>
    <x v="0"/>
    <x v="4"/>
    <x v="4"/>
    <s v="CUST_ID_085"/>
    <s v="PROD_ID_005"/>
    <x v="80"/>
    <s v="High"/>
    <d v="2021-06-02T00:00:00"/>
    <x v="11"/>
    <x v="2"/>
    <x v="1"/>
    <n v="1409"/>
    <n v="4"/>
    <n v="188"/>
    <n v="264892"/>
    <n v="39733.799999999996"/>
    <x v="538"/>
    <n v="124.7375"/>
    <n v="5636"/>
    <n v="219522.2"/>
    <n v="395.13996000000003"/>
  </r>
  <r>
    <x v="0"/>
    <x v="1"/>
    <x v="4"/>
    <s v="CUST_ID_058"/>
    <s v="PROD_ID_005"/>
    <x v="57"/>
    <s v="High"/>
    <d v="2021-12-31T00:00:00"/>
    <x v="7"/>
    <x v="3"/>
    <x v="1"/>
    <n v="3320"/>
    <n v="4"/>
    <n v="188"/>
    <n v="624160"/>
    <n v="93624"/>
    <x v="539"/>
    <n v="293.99374999999998"/>
    <n v="13280"/>
    <n v="517256"/>
    <n v="931.06079999999997"/>
  </r>
  <r>
    <x v="0"/>
    <x v="1"/>
    <x v="4"/>
    <s v="CUST_ID_058"/>
    <s v="PROD_ID_005"/>
    <x v="57"/>
    <s v="High"/>
    <d v="2021-06-18T00:00:00"/>
    <x v="11"/>
    <x v="2"/>
    <x v="1"/>
    <n v="1302"/>
    <n v="4"/>
    <n v="188"/>
    <n v="244776"/>
    <n v="36716.400000000001"/>
    <x v="540"/>
    <n v="115.28125"/>
    <n v="5208"/>
    <n v="202851.6"/>
    <n v="365.13288"/>
  </r>
  <r>
    <x v="2"/>
    <x v="1"/>
    <x v="0"/>
    <s v="CUST_ID_050"/>
    <s v="PROD_ID_001"/>
    <x v="49"/>
    <s v="High"/>
    <d v="2021-01-14T00:00:00"/>
    <x v="1"/>
    <x v="1"/>
    <x v="1"/>
    <n v="655"/>
    <n v="6"/>
    <n v="450"/>
    <n v="294750"/>
    <n v="44212.5"/>
    <x v="541"/>
    <n v="139.22999999999999"/>
    <n v="3930"/>
    <n v="246607.5"/>
    <n v="443.89349999999996"/>
  </r>
  <r>
    <x v="3"/>
    <x v="7"/>
    <x v="1"/>
    <s v="CUST_ID_072"/>
    <s v="PROD_ID_002"/>
    <x v="69"/>
    <s v="High"/>
    <d v="2021-05-18T00:00:00"/>
    <x v="10"/>
    <x v="2"/>
    <x v="1"/>
    <n v="1390"/>
    <n v="12"/>
    <n v="30"/>
    <n v="41700"/>
    <n v="6255"/>
    <x v="542"/>
    <n v="19.686"/>
    <n v="16680"/>
    <n v="18765"/>
    <n v="33.777000000000001"/>
  </r>
  <r>
    <x v="1"/>
    <x v="5"/>
    <x v="1"/>
    <s v="CUST_ID_006"/>
    <s v="PROD_ID_002"/>
    <x v="5"/>
    <s v="High"/>
    <d v="2021-10-10T00:00:00"/>
    <x v="9"/>
    <x v="3"/>
    <x v="1"/>
    <n v="1937"/>
    <n v="12"/>
    <n v="23"/>
    <n v="44551"/>
    <n v="6682.65"/>
    <x v="543"/>
    <n v="20.578499999999998"/>
    <n v="23244"/>
    <n v="14624.349999999999"/>
    <n v="26.323829999999997"/>
  </r>
  <r>
    <x v="3"/>
    <x v="7"/>
    <x v="1"/>
    <s v="CUST_ID_040"/>
    <s v="PROD_ID_002"/>
    <x v="39"/>
    <s v="High"/>
    <d v="2021-03-21T00:00:00"/>
    <x v="8"/>
    <x v="1"/>
    <x v="1"/>
    <n v="3042"/>
    <n v="12"/>
    <n v="11"/>
    <n v="33462"/>
    <n v="5019.3"/>
    <x v="544"/>
    <n v="15.08325"/>
    <n v="36504"/>
    <n v="-8061.2999999999993"/>
    <n v="-14.510339999999998"/>
  </r>
  <r>
    <x v="3"/>
    <x v="7"/>
    <x v="1"/>
    <s v="CUST_ID_040"/>
    <s v="PROD_ID_002"/>
    <x v="39"/>
    <s v="High"/>
    <d v="2020-03-13T00:00:00"/>
    <x v="8"/>
    <x v="1"/>
    <x v="0"/>
    <n v="3421"/>
    <n v="12"/>
    <n v="525"/>
    <n v="1796025"/>
    <n v="269403.75"/>
    <x v="545"/>
    <n v="848.17250000000001"/>
    <n v="41052"/>
    <n v="1485569.25"/>
    <n v="2674.0246499999998"/>
  </r>
  <r>
    <x v="1"/>
    <x v="5"/>
    <x v="1"/>
    <s v="CUST_ID_006"/>
    <s v="PROD_ID_002"/>
    <x v="5"/>
    <s v="High"/>
    <d v="2021-10-06T00:00:00"/>
    <x v="9"/>
    <x v="3"/>
    <x v="1"/>
    <n v="3071"/>
    <n v="12"/>
    <n v="23"/>
    <n v="70633"/>
    <n v="10594.949999999999"/>
    <x v="546"/>
    <n v="32.627249999999997"/>
    <n v="36852"/>
    <n v="23186.050000000003"/>
    <n v="41.734890000000007"/>
  </r>
  <r>
    <x v="0"/>
    <x v="6"/>
    <x v="1"/>
    <s v="CUST_ID_023"/>
    <s v="PROD_ID_002"/>
    <x v="22"/>
    <s v="High"/>
    <d v="2020-12-30T00:00:00"/>
    <x v="7"/>
    <x v="3"/>
    <x v="0"/>
    <n v="1302"/>
    <n v="12"/>
    <n v="188"/>
    <n v="244776"/>
    <n v="36716.400000000001"/>
    <x v="540"/>
    <n v="115.28125"/>
    <n v="15624"/>
    <n v="192435.6"/>
    <n v="346.38407999999998"/>
  </r>
  <r>
    <x v="1"/>
    <x v="5"/>
    <x v="1"/>
    <s v="CUST_ID_038"/>
    <s v="PROD_ID_002"/>
    <x v="37"/>
    <s v="High"/>
    <d v="2020-07-16T00:00:00"/>
    <x v="3"/>
    <x v="0"/>
    <x v="0"/>
    <n v="1410"/>
    <n v="12"/>
    <n v="23"/>
    <n v="32430"/>
    <n v="4864.5"/>
    <x v="547"/>
    <n v="14.981249999999999"/>
    <n v="16920"/>
    <n v="10645.5"/>
    <n v="19.161899999999999"/>
  </r>
  <r>
    <x v="4"/>
    <x v="4"/>
    <x v="1"/>
    <s v="CUST_ID_005"/>
    <s v="PROD_ID_002"/>
    <x v="4"/>
    <s v="High"/>
    <d v="2020-11-16T00:00:00"/>
    <x v="6"/>
    <x v="3"/>
    <x v="0"/>
    <n v="1097"/>
    <n v="12"/>
    <n v="18"/>
    <n v="19746"/>
    <n v="2961.9"/>
    <x v="548"/>
    <n v="9.3227999999999991"/>
    <n v="13164"/>
    <n v="3620.0999999999985"/>
    <n v="6.5161799999999976"/>
  </r>
  <r>
    <x v="3"/>
    <x v="3"/>
    <x v="1"/>
    <s v="CUST_ID_052"/>
    <s v="PROD_ID_002"/>
    <x v="51"/>
    <s v="High"/>
    <d v="2020-10-15T00:00:00"/>
    <x v="9"/>
    <x v="3"/>
    <x v="0"/>
    <n v="352"/>
    <n v="12"/>
    <n v="30"/>
    <n v="10560"/>
    <n v="1584"/>
    <x v="549"/>
    <n v="4.9809999999999999"/>
    <n v="4224"/>
    <n v="4752"/>
    <n v="8.5535999999999994"/>
  </r>
  <r>
    <x v="4"/>
    <x v="3"/>
    <x v="2"/>
    <s v="CUST_ID_124"/>
    <s v="PROD_ID_003"/>
    <x v="73"/>
    <s v="High"/>
    <d v="2021-02-07T00:00:00"/>
    <x v="4"/>
    <x v="1"/>
    <x v="1"/>
    <n v="600"/>
    <n v="148"/>
    <n v="18"/>
    <n v="10800"/>
    <n v="1620"/>
    <x v="550"/>
    <n v="5.0999999999999996"/>
    <n v="88800"/>
    <n v="-79620"/>
    <n v="-143.316"/>
  </r>
  <r>
    <x v="1"/>
    <x v="5"/>
    <x v="2"/>
    <s v="CUST_ID_150"/>
    <s v="PROD_ID_003"/>
    <x v="90"/>
    <s v="High"/>
    <d v="2021-11-13T00:00:00"/>
    <x v="6"/>
    <x v="3"/>
    <x v="1"/>
    <n v="3391"/>
    <n v="148"/>
    <n v="23"/>
    <n v="77993"/>
    <n v="11698.949999999999"/>
    <x v="551"/>
    <n v="36.031500000000001"/>
    <n v="501868"/>
    <n v="-435573.95"/>
    <n v="-784.03310999999997"/>
  </r>
  <r>
    <x v="0"/>
    <x v="4"/>
    <x v="2"/>
    <s v="CUST_ID_053"/>
    <s v="PROD_ID_003"/>
    <x v="52"/>
    <s v="High"/>
    <d v="2020-04-19T00:00:00"/>
    <x v="5"/>
    <x v="2"/>
    <x v="0"/>
    <n v="796"/>
    <n v="148"/>
    <n v="188"/>
    <n v="149648"/>
    <n v="22447.200000000001"/>
    <x v="552"/>
    <n v="70.443749999999994"/>
    <n v="117808"/>
    <n v="9392.8000000000029"/>
    <n v="16.907040000000006"/>
  </r>
  <r>
    <x v="4"/>
    <x v="3"/>
    <x v="2"/>
    <s v="CUST_ID_132"/>
    <s v="PROD_ID_003"/>
    <x v="79"/>
    <s v="High"/>
    <d v="2021-05-12T00:00:00"/>
    <x v="10"/>
    <x v="2"/>
    <x v="1"/>
    <n v="1097"/>
    <n v="148"/>
    <n v="18"/>
    <n v="19746"/>
    <n v="2961.9"/>
    <x v="548"/>
    <n v="9.3227999999999991"/>
    <n v="162356"/>
    <n v="-145571.9"/>
    <n v="-262.02941999999996"/>
  </r>
  <r>
    <x v="3"/>
    <x v="6"/>
    <x v="3"/>
    <s v="CUST_ID_055"/>
    <s v="PROD_ID_004"/>
    <x v="54"/>
    <s v="High"/>
    <d v="2021-06-24T00:00:00"/>
    <x v="11"/>
    <x v="2"/>
    <x v="1"/>
    <n v="1039"/>
    <n v="308"/>
    <n v="30"/>
    <n v="31170"/>
    <n v="4675.5"/>
    <x v="553"/>
    <n v="14.7135"/>
    <n v="320012"/>
    <n v="-293517.5"/>
    <n v="-528.33150000000001"/>
  </r>
  <r>
    <x v="1"/>
    <x v="6"/>
    <x v="3"/>
    <s v="CUST_ID_039"/>
    <s v="PROD_ID_004"/>
    <x v="38"/>
    <s v="High"/>
    <d v="2020-10-15T00:00:00"/>
    <x v="9"/>
    <x v="3"/>
    <x v="0"/>
    <n v="590"/>
    <n v="308"/>
    <n v="23"/>
    <n v="13570"/>
    <n v="2035.5"/>
    <x v="554"/>
    <n v="6.2729999999999997"/>
    <n v="181720"/>
    <n v="-170185.5"/>
    <n v="-306.33389999999997"/>
  </r>
  <r>
    <x v="1"/>
    <x v="6"/>
    <x v="3"/>
    <s v="CUST_ID_039"/>
    <s v="PROD_ID_004"/>
    <x v="38"/>
    <s v="High"/>
    <d v="2021-04-09T00:00:00"/>
    <x v="5"/>
    <x v="2"/>
    <x v="1"/>
    <n v="1410"/>
    <n v="308"/>
    <n v="23"/>
    <n v="32430"/>
    <n v="4864.5"/>
    <x v="547"/>
    <n v="14.981249999999999"/>
    <n v="434280"/>
    <n v="-406714.5"/>
    <n v="-732.08609999999999"/>
  </r>
  <r>
    <x v="0"/>
    <x v="1"/>
    <x v="3"/>
    <s v="CUST_ID_130"/>
    <s v="PROD_ID_004"/>
    <x v="57"/>
    <s v="High"/>
    <d v="2021-12-27T00:00:00"/>
    <x v="7"/>
    <x v="3"/>
    <x v="1"/>
    <n v="662"/>
    <n v="308"/>
    <n v="188"/>
    <n v="124456"/>
    <n v="18668.399999999998"/>
    <x v="555"/>
    <n v="58.65"/>
    <n v="203896"/>
    <n v="-98108.4"/>
    <n v="-176.59511999999998"/>
  </r>
  <r>
    <x v="3"/>
    <x v="7"/>
    <x v="3"/>
    <s v="CUST_ID_008"/>
    <s v="PROD_ID_004"/>
    <x v="7"/>
    <s v="High"/>
    <d v="2020-12-10T00:00:00"/>
    <x v="7"/>
    <x v="3"/>
    <x v="0"/>
    <n v="352"/>
    <n v="308"/>
    <n v="30"/>
    <n v="10560"/>
    <n v="1584"/>
    <x v="549"/>
    <n v="4.9809999999999999"/>
    <n v="108416"/>
    <n v="-99440"/>
    <n v="-178.99199999999999"/>
  </r>
  <r>
    <x v="2"/>
    <x v="4"/>
    <x v="5"/>
    <s v="CUST_ID_149"/>
    <s v="PROD_ID_006"/>
    <x v="52"/>
    <s v="High"/>
    <d v="2020-03-28T00:00:00"/>
    <x v="8"/>
    <x v="1"/>
    <x v="0"/>
    <n v="2970"/>
    <n v="320"/>
    <n v="450"/>
    <n v="1336500"/>
    <n v="200475"/>
    <x v="556"/>
    <n v="631.125"/>
    <n v="950400"/>
    <n v="185625"/>
    <n v="334.125"/>
  </r>
  <r>
    <x v="2"/>
    <x v="6"/>
    <x v="5"/>
    <s v="CUST_ID_127"/>
    <s v="PROD_ID_006"/>
    <x v="91"/>
    <s v="High"/>
    <d v="2020-12-16T00:00:00"/>
    <x v="7"/>
    <x v="3"/>
    <x v="0"/>
    <n v="655"/>
    <n v="320"/>
    <n v="450"/>
    <n v="294750"/>
    <n v="44212.5"/>
    <x v="541"/>
    <n v="139.22999999999999"/>
    <n v="209600"/>
    <n v="40937.5"/>
    <n v="73.6875"/>
  </r>
  <r>
    <x v="3"/>
    <x v="0"/>
    <x v="0"/>
    <s v="CUST_ID_049"/>
    <s v="PROD_ID_001"/>
    <x v="48"/>
    <s v="High"/>
    <d v="2021-04-22T00:00:00"/>
    <x v="5"/>
    <x v="2"/>
    <x v="1"/>
    <n v="1642"/>
    <n v="6"/>
    <n v="11"/>
    <n v="18062"/>
    <n v="2709.3"/>
    <x v="557"/>
    <n v="8.1395999999999997"/>
    <n v="9852"/>
    <n v="5500.7000000000007"/>
    <n v="9.9012600000000006"/>
  </r>
  <r>
    <x v="3"/>
    <x v="3"/>
    <x v="1"/>
    <s v="CUST_ID_004"/>
    <s v="PROD_ID_002"/>
    <x v="3"/>
    <s v="High"/>
    <d v="2021-01-28T00:00:00"/>
    <x v="1"/>
    <x v="1"/>
    <x v="1"/>
    <n v="868"/>
    <n v="12"/>
    <n v="11"/>
    <n v="9548"/>
    <n v="1432.2000000000003"/>
    <x v="558"/>
    <n v="4.30185"/>
    <n v="10416"/>
    <n v="-2300.2000000000007"/>
    <n v="-4.1403600000000012"/>
  </r>
  <r>
    <x v="4"/>
    <x v="2"/>
    <x v="3"/>
    <s v="CUST_ID_147"/>
    <s v="PROD_ID_004"/>
    <x v="72"/>
    <s v="High"/>
    <d v="2020-03-19T00:00:00"/>
    <x v="8"/>
    <x v="1"/>
    <x v="0"/>
    <n v="2167"/>
    <n v="308"/>
    <n v="18"/>
    <n v="39006"/>
    <n v="5850.9000000000005"/>
    <x v="559"/>
    <n v="18.421200000000002"/>
    <n v="667436"/>
    <n v="-634280.9"/>
    <n v="-1141.705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A0A8D-700E-46AE-B263-416EC5FBB5A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G4:H11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axis="axisRow"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68" showAll="0"/>
    <pivotField showAll="0"/>
    <pivotField showAll="0"/>
    <pivotField numFmtId="168" showAll="0"/>
    <pivotField numFmtId="168" showAll="0"/>
    <pivotField dataField="1" numFmtId="168" showAll="0"/>
    <pivotField showAll="0"/>
    <pivotField numFmtId="168" showAll="0"/>
    <pivotField numFmtId="168" showAll="0"/>
    <pivotField numFmtId="168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 Sales" fld="16" baseField="0" baseItem="0" numFmtId="165"/>
  </dataFields>
  <formats count="3">
    <format dxfId="24">
      <pivotArea dataOnly="0" outline="0" axis="axisValues" fieldPosition="0"/>
    </format>
    <format dxfId="25">
      <pivotArea outline="0" collapsedLevelsAreSubtotals="1" fieldPosition="0"/>
    </format>
    <format dxfId="26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5A15F-A103-446E-A3AF-A008EA0FA65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W4:X99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showAll="0"/>
    <pivotField showAll="0"/>
    <pivotField showAll="0"/>
    <pivotField axis="axisRow" showAll="0">
      <items count="95">
        <item x="77"/>
        <item x="67"/>
        <item x="39"/>
        <item x="86"/>
        <item x="57"/>
        <item x="19"/>
        <item x="78"/>
        <item x="40"/>
        <item x="87"/>
        <item x="93"/>
        <item x="20"/>
        <item x="58"/>
        <item x="68"/>
        <item x="44"/>
        <item x="24"/>
        <item x="17"/>
        <item x="92"/>
        <item x="66"/>
        <item x="55"/>
        <item x="85"/>
        <item x="37"/>
        <item x="5"/>
        <item x="45"/>
        <item x="25"/>
        <item x="80"/>
        <item x="89"/>
        <item x="30"/>
        <item x="59"/>
        <item x="10"/>
        <item x="70"/>
        <item x="62"/>
        <item x="33"/>
        <item x="73"/>
        <item x="81"/>
        <item x="51"/>
        <item x="13"/>
        <item x="28"/>
        <item x="48"/>
        <item x="23"/>
        <item x="43"/>
        <item x="21"/>
        <item x="41"/>
        <item x="69"/>
        <item x="79"/>
        <item x="88"/>
        <item x="1"/>
        <item x="6"/>
        <item x="35"/>
        <item x="15"/>
        <item x="75"/>
        <item x="83"/>
        <item x="90"/>
        <item x="64"/>
        <item x="53"/>
        <item x="16"/>
        <item x="84"/>
        <item x="91"/>
        <item x="36"/>
        <item x="65"/>
        <item x="54"/>
        <item x="7"/>
        <item x="56"/>
        <item x="76"/>
        <item x="18"/>
        <item x="38"/>
        <item x="0"/>
        <item x="4"/>
        <item x="61"/>
        <item x="32"/>
        <item x="12"/>
        <item x="72"/>
        <item x="50"/>
        <item x="8"/>
        <item x="49"/>
        <item x="60"/>
        <item x="11"/>
        <item x="71"/>
        <item x="31"/>
        <item x="26"/>
        <item x="46"/>
        <item x="2"/>
        <item x="3"/>
        <item x="52"/>
        <item x="34"/>
        <item x="74"/>
        <item x="14"/>
        <item x="82"/>
        <item x="63"/>
        <item x="22"/>
        <item x="42"/>
        <item x="27"/>
        <item x="47"/>
        <item x="9"/>
        <item x="29"/>
        <item t="default"/>
      </items>
    </pivotField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68" showAll="0"/>
    <pivotField showAll="0"/>
    <pivotField showAll="0"/>
    <pivotField numFmtId="168" showAll="0"/>
    <pivotField numFmtId="168" showAll="0"/>
    <pivotField dataField="1" numFmtId="168" showAll="0"/>
    <pivotField showAll="0"/>
    <pivotField numFmtId="168" showAll="0"/>
    <pivotField numFmtId="168" showAll="0"/>
    <pivotField numFmtId="168" showAll="0"/>
  </pivotFields>
  <rowFields count="1">
    <field x="5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Items count="1">
    <i/>
  </colItems>
  <dataFields count="1">
    <dataField name="Sum of Net Sales" fld="16" baseField="0" baseItem="0" numFmtId="168"/>
  </dataFields>
  <formats count="1"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4DD17-039A-4806-A3BA-A4A012CEC8F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J4:K17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axis="axisRow"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68" showAll="0"/>
    <pivotField showAll="0"/>
    <pivotField showAll="0"/>
    <pivotField numFmtId="168" showAll="0"/>
    <pivotField numFmtId="168" showAll="0"/>
    <pivotField dataField="1" numFmtId="168" showAll="0"/>
    <pivotField showAll="0"/>
    <pivotField numFmtId="168" showAll="0"/>
    <pivotField numFmtId="168" showAll="0"/>
    <pivotField numFmtId="168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Sales" fld="16" baseField="0" baseItem="0" numFmtId="165"/>
  </dataFields>
  <formats count="2">
    <format dxfId="28">
      <pivotArea outline="0" collapsedLevelsAreSubtotals="1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8D2C7-1962-460E-A06B-1F2B819600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egment">
  <location ref="A4:B10" firstHeaderRow="1" firstDataRow="1" firstDataCol="1"/>
  <pivotFields count="21">
    <pivotField axis="axisRow" showAll="0" sortType="descending">
      <items count="6">
        <item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68" showAll="0"/>
    <pivotField showAll="0"/>
    <pivotField showAll="0"/>
    <pivotField numFmtId="168" showAll="0"/>
    <pivotField numFmtId="168" showAll="0"/>
    <pivotField dataField="1" numFmtId="168" showAll="0"/>
    <pivotField showAll="0"/>
    <pivotField numFmtId="168" showAll="0"/>
    <pivotField numFmtId="168" showAll="0"/>
    <pivotField numFmtId="168" showAll="0"/>
  </pivotFields>
  <rowFields count="1">
    <field x="0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Net Sales" fld="16" baseField="0" baseItem="0" numFmtId="165"/>
  </dataFields>
  <formats count="4">
    <format dxfId="30">
      <pivotArea outline="0" collapsedLevelsAreSubtotals="1" fieldPosition="0"/>
    </format>
    <format dxfId="31">
      <pivotArea dataOnly="0" labelOnly="1" outline="0" axis="axisValues" fieldPosition="0"/>
    </format>
    <format dxfId="32">
      <pivotArea collapsedLevelsAreSubtotals="1" fieldPosition="0">
        <references count="1">
          <reference field="0" count="1">
            <x v="1"/>
          </reference>
        </references>
      </pivotArea>
    </format>
    <format dxfId="33">
      <pivotArea grandRow="1" outline="0" collapsedLevelsAreSubtotals="1" fieldPosition="0"/>
    </format>
  </formats>
  <chartFormats count="6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6EB33-3801-4EFB-AF72-7E97A4AEF85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36:B45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axis="axisRow"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showAll="0"/>
    <pivotField showAll="0"/>
    <pivotField showAll="0"/>
    <pivotField showAll="0">
      <items count="95">
        <item x="77"/>
        <item x="67"/>
        <item x="39"/>
        <item x="86"/>
        <item x="57"/>
        <item x="19"/>
        <item x="78"/>
        <item x="40"/>
        <item x="87"/>
        <item x="93"/>
        <item x="20"/>
        <item x="58"/>
        <item x="68"/>
        <item x="44"/>
        <item x="24"/>
        <item x="17"/>
        <item x="92"/>
        <item x="66"/>
        <item x="55"/>
        <item x="85"/>
        <item x="37"/>
        <item x="5"/>
        <item x="45"/>
        <item x="25"/>
        <item x="80"/>
        <item x="89"/>
        <item x="30"/>
        <item x="59"/>
        <item x="10"/>
        <item x="70"/>
        <item x="62"/>
        <item x="33"/>
        <item x="73"/>
        <item x="81"/>
        <item x="51"/>
        <item x="13"/>
        <item x="28"/>
        <item x="48"/>
        <item x="23"/>
        <item x="43"/>
        <item x="21"/>
        <item x="41"/>
        <item x="69"/>
        <item x="79"/>
        <item x="88"/>
        <item x="1"/>
        <item x="6"/>
        <item x="35"/>
        <item x="15"/>
        <item x="75"/>
        <item x="83"/>
        <item x="90"/>
        <item x="64"/>
        <item x="53"/>
        <item x="16"/>
        <item x="84"/>
        <item x="91"/>
        <item x="36"/>
        <item x="65"/>
        <item x="54"/>
        <item x="7"/>
        <item x="56"/>
        <item x="76"/>
        <item x="18"/>
        <item x="38"/>
        <item x="0"/>
        <item x="4"/>
        <item x="61"/>
        <item x="32"/>
        <item x="12"/>
        <item x="72"/>
        <item x="50"/>
        <item x="8"/>
        <item x="49"/>
        <item x="60"/>
        <item x="11"/>
        <item x="71"/>
        <item x="31"/>
        <item x="26"/>
        <item x="46"/>
        <item x="2"/>
        <item x="3"/>
        <item x="52"/>
        <item x="34"/>
        <item x="74"/>
        <item x="14"/>
        <item x="82"/>
        <item x="63"/>
        <item x="22"/>
        <item x="42"/>
        <item x="27"/>
        <item x="47"/>
        <item x="9"/>
        <item x="29"/>
        <item t="default"/>
      </items>
    </pivotField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numFmtId="168" showAll="0"/>
    <pivotField showAll="0"/>
    <pivotField showAll="0"/>
    <pivotField numFmtId="168" showAll="0"/>
    <pivotField numFmtId="168" showAll="0"/>
    <pivotField numFmtId="168" showAll="0"/>
    <pivotField showAll="0"/>
    <pivotField numFmtId="168" showAll="0"/>
    <pivotField numFmtId="168" showAll="0"/>
    <pivotField numFmtId="168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s Sold" fld="11" baseField="0" baseItem="0" numFmtId="165"/>
  </dataFields>
  <formats count="2">
    <format dxfId="34">
      <pivotArea outline="0" collapsedLevelsAreSubtotals="1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4E5CB-19BF-4BFD-8717-5EC3491F83E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22:B31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axis="axisRow"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showAll="0"/>
    <pivotField showAll="0"/>
    <pivotField showAll="0"/>
    <pivotField showAll="0">
      <items count="95">
        <item x="77"/>
        <item x="67"/>
        <item x="39"/>
        <item x="86"/>
        <item x="57"/>
        <item x="19"/>
        <item x="78"/>
        <item x="40"/>
        <item x="87"/>
        <item x="93"/>
        <item x="20"/>
        <item x="58"/>
        <item x="68"/>
        <item x="44"/>
        <item x="24"/>
        <item x="17"/>
        <item x="92"/>
        <item x="66"/>
        <item x="55"/>
        <item x="85"/>
        <item x="37"/>
        <item x="5"/>
        <item x="45"/>
        <item x="25"/>
        <item x="80"/>
        <item x="89"/>
        <item x="30"/>
        <item x="59"/>
        <item x="10"/>
        <item x="70"/>
        <item x="62"/>
        <item x="33"/>
        <item x="73"/>
        <item x="81"/>
        <item x="51"/>
        <item x="13"/>
        <item x="28"/>
        <item x="48"/>
        <item x="23"/>
        <item x="43"/>
        <item x="21"/>
        <item x="41"/>
        <item x="69"/>
        <item x="79"/>
        <item x="88"/>
        <item x="1"/>
        <item x="6"/>
        <item x="35"/>
        <item x="15"/>
        <item x="75"/>
        <item x="83"/>
        <item x="90"/>
        <item x="64"/>
        <item x="53"/>
        <item x="16"/>
        <item x="84"/>
        <item x="91"/>
        <item x="36"/>
        <item x="65"/>
        <item x="54"/>
        <item x="7"/>
        <item x="56"/>
        <item x="76"/>
        <item x="18"/>
        <item x="38"/>
        <item x="0"/>
        <item x="4"/>
        <item x="61"/>
        <item x="32"/>
        <item x="12"/>
        <item x="72"/>
        <item x="50"/>
        <item x="8"/>
        <item x="49"/>
        <item x="60"/>
        <item x="11"/>
        <item x="71"/>
        <item x="31"/>
        <item x="26"/>
        <item x="46"/>
        <item x="2"/>
        <item x="3"/>
        <item x="52"/>
        <item x="34"/>
        <item x="74"/>
        <item x="14"/>
        <item x="82"/>
        <item x="63"/>
        <item x="22"/>
        <item x="42"/>
        <item x="27"/>
        <item x="47"/>
        <item x="9"/>
        <item x="29"/>
        <item t="default"/>
      </items>
    </pivotField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68" showAll="0"/>
    <pivotField showAll="0"/>
    <pivotField showAll="0"/>
    <pivotField numFmtId="168" showAll="0"/>
    <pivotField numFmtId="168" showAll="0"/>
    <pivotField numFmtId="168" showAll="0"/>
    <pivotField showAll="0"/>
    <pivotField numFmtId="168" showAll="0"/>
    <pivotField dataField="1" numFmtId="168" showAll="0"/>
    <pivotField numFmtId="168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19" baseField="0" baseItem="0" numFmtId="165"/>
  </dataFields>
  <formats count="3">
    <format dxfId="36">
      <pivotArea grandRow="1" outline="0" collapsedLevelsAreSubtotals="1" fieldPosition="0"/>
    </format>
    <format dxfId="37">
      <pivotArea outline="0" collapsedLevelsAreSubtotals="1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0143A-9F7D-4964-9158-8D65313D35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untry" fieldListSortAscending="1">
  <location ref="D4:E13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axis="axisRow" showAll="0" sortType="descending">
      <items count="9">
        <item x="0"/>
        <item x="7"/>
        <item x="5"/>
        <item x="6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numFmtId="168" showAll="0"/>
    <pivotField showAll="0"/>
    <pivotField showAll="0"/>
    <pivotField numFmtId="168" showAll="0"/>
    <pivotField numFmtId="168" showAll="0"/>
    <pivotField dataField="1" numFmtId="168" showAll="0">
      <items count="561">
        <item x="347"/>
        <item x="510"/>
        <item x="54"/>
        <item x="511"/>
        <item x="200"/>
        <item x="405"/>
        <item x="524"/>
        <item x="109"/>
        <item x="198"/>
        <item x="257"/>
        <item x="345"/>
        <item x="91"/>
        <item x="385"/>
        <item x="402"/>
        <item x="512"/>
        <item x="324"/>
        <item x="230"/>
        <item x="276"/>
        <item x="82"/>
        <item x="92"/>
        <item x="506"/>
        <item x="415"/>
        <item x="157"/>
        <item x="525"/>
        <item x="558"/>
        <item x="134"/>
        <item x="361"/>
        <item x="177"/>
        <item x="14"/>
        <item x="549"/>
        <item x="437"/>
        <item x="550"/>
        <item x="113"/>
        <item x="436"/>
        <item x="400"/>
        <item x="154"/>
        <item x="499"/>
        <item x="490"/>
        <item x="301"/>
        <item x="554"/>
        <item x="158"/>
        <item x="365"/>
        <item x="349"/>
        <item x="64"/>
        <item x="417"/>
        <item x="41"/>
        <item x="358"/>
        <item x="176"/>
        <item x="505"/>
        <item x="117"/>
        <item x="323"/>
        <item x="374"/>
        <item x="39"/>
        <item x="290"/>
        <item x="318"/>
        <item x="209"/>
        <item x="489"/>
        <item x="160"/>
        <item x="1"/>
        <item x="357"/>
        <item x="557"/>
        <item x="118"/>
        <item x="424"/>
        <item x="105"/>
        <item x="8"/>
        <item x="463"/>
        <item x="493"/>
        <item x="317"/>
        <item x="548"/>
        <item x="416"/>
        <item x="153"/>
        <item x="266"/>
        <item x="394"/>
        <item x="484"/>
        <item x="178"/>
        <item x="56"/>
        <item x="34"/>
        <item x="262"/>
        <item x="355"/>
        <item x="438"/>
        <item x="310"/>
        <item x="531"/>
        <item x="27"/>
        <item x="503"/>
        <item x="24"/>
        <item x="100"/>
        <item x="85"/>
        <item x="362"/>
        <item x="325"/>
        <item x="125"/>
        <item x="418"/>
        <item x="527"/>
        <item x="4"/>
        <item x="73"/>
        <item x="162"/>
        <item x="336"/>
        <item x="195"/>
        <item x="269"/>
        <item x="454"/>
        <item x="353"/>
        <item x="399"/>
        <item x="172"/>
        <item x="216"/>
        <item x="30"/>
        <item x="272"/>
        <item x="217"/>
        <item x="99"/>
        <item x="270"/>
        <item x="352"/>
        <item x="78"/>
        <item x="189"/>
        <item x="207"/>
        <item x="89"/>
        <item x="143"/>
        <item x="228"/>
        <item x="146"/>
        <item x="32"/>
        <item x="515"/>
        <item x="22"/>
        <item x="71"/>
        <item x="553"/>
        <item x="48"/>
        <item x="155"/>
        <item x="81"/>
        <item x="12"/>
        <item x="205"/>
        <item x="547"/>
        <item x="409"/>
        <item x="16"/>
        <item x="465"/>
        <item x="152"/>
        <item x="367"/>
        <item x="544"/>
        <item x="468"/>
        <item x="236"/>
        <item x="242"/>
        <item x="285"/>
        <item x="76"/>
        <item x="40"/>
        <item x="435"/>
        <item x="315"/>
        <item x="260"/>
        <item x="383"/>
        <item x="182"/>
        <item x="500"/>
        <item x="401"/>
        <item x="277"/>
        <item x="421"/>
        <item x="466"/>
        <item x="102"/>
        <item x="403"/>
        <item x="322"/>
        <item x="533"/>
        <item x="181"/>
        <item x="559"/>
        <item x="223"/>
        <item x="120"/>
        <item x="455"/>
        <item x="149"/>
        <item x="267"/>
        <item x="316"/>
        <item x="121"/>
        <item x="404"/>
        <item x="87"/>
        <item x="326"/>
        <item x="366"/>
        <item x="50"/>
        <item x="542"/>
        <item x="519"/>
        <item x="447"/>
        <item x="33"/>
        <item x="259"/>
        <item x="440"/>
        <item x="122"/>
        <item x="344"/>
        <item x="501"/>
        <item x="20"/>
        <item x="299"/>
        <item x="319"/>
        <item x="543"/>
        <item x="60"/>
        <item x="271"/>
        <item x="101"/>
        <item x="391"/>
        <item x="406"/>
        <item x="473"/>
        <item x="492"/>
        <item x="309"/>
        <item x="179"/>
        <item x="480"/>
        <item x="229"/>
        <item x="476"/>
        <item x="35"/>
        <item x="239"/>
        <item x="227"/>
        <item x="408"/>
        <item x="128"/>
        <item x="190"/>
        <item x="127"/>
        <item x="514"/>
        <item x="170"/>
        <item x="346"/>
        <item x="13"/>
        <item x="51"/>
        <item x="222"/>
        <item x="88"/>
        <item x="133"/>
        <item x="65"/>
        <item x="281"/>
        <item x="314"/>
        <item x="359"/>
        <item x="378"/>
        <item x="537"/>
        <item x="173"/>
        <item x="450"/>
        <item x="164"/>
        <item x="53"/>
        <item x="320"/>
        <item x="321"/>
        <item x="45"/>
        <item x="141"/>
        <item x="72"/>
        <item x="280"/>
        <item x="483"/>
        <item x="452"/>
        <item x="188"/>
        <item x="268"/>
        <item x="433"/>
        <item x="373"/>
        <item x="482"/>
        <item x="334"/>
        <item x="412"/>
        <item x="174"/>
        <item x="244"/>
        <item x="21"/>
        <item x="29"/>
        <item x="248"/>
        <item x="116"/>
        <item x="302"/>
        <item x="445"/>
        <item x="273"/>
        <item x="245"/>
        <item x="95"/>
        <item x="251"/>
        <item x="333"/>
        <item x="509"/>
        <item x="294"/>
        <item x="526"/>
        <item x="111"/>
        <item x="147"/>
        <item x="520"/>
        <item x="208"/>
        <item x="305"/>
        <item x="49"/>
        <item x="398"/>
        <item x="70"/>
        <item x="313"/>
        <item x="183"/>
        <item x="140"/>
        <item x="126"/>
        <item x="191"/>
        <item x="5"/>
        <item x="62"/>
        <item x="31"/>
        <item x="546"/>
        <item x="142"/>
        <item x="186"/>
        <item x="167"/>
        <item x="63"/>
        <item x="47"/>
        <item x="485"/>
        <item x="115"/>
        <item x="175"/>
        <item x="413"/>
        <item x="351"/>
        <item x="210"/>
        <item x="363"/>
        <item x="339"/>
        <item x="462"/>
        <item x="161"/>
        <item x="407"/>
        <item x="432"/>
        <item x="330"/>
        <item x="551"/>
        <item x="144"/>
        <item x="159"/>
        <item x="148"/>
        <item x="431"/>
        <item x="287"/>
        <item x="423"/>
        <item x="491"/>
        <item x="258"/>
        <item x="275"/>
        <item x="7"/>
        <item x="300"/>
        <item x="291"/>
        <item x="513"/>
        <item x="67"/>
        <item x="451"/>
        <item x="449"/>
        <item x="0"/>
        <item x="52"/>
        <item x="439"/>
        <item x="508"/>
        <item x="481"/>
        <item x="495"/>
        <item x="458"/>
        <item x="496"/>
        <item x="90"/>
        <item x="104"/>
        <item x="225"/>
        <item x="289"/>
        <item x="36"/>
        <item x="382"/>
        <item x="107"/>
        <item x="477"/>
        <item x="103"/>
        <item x="504"/>
        <item x="293"/>
        <item x="298"/>
        <item x="364"/>
        <item x="555"/>
        <item x="523"/>
        <item x="456"/>
        <item x="15"/>
        <item x="388"/>
        <item x="428"/>
        <item x="130"/>
        <item x="552"/>
        <item x="243"/>
        <item x="219"/>
        <item x="197"/>
        <item x="213"/>
        <item x="11"/>
        <item x="479"/>
        <item x="46"/>
        <item x="83"/>
        <item x="192"/>
        <item x="25"/>
        <item x="204"/>
        <item x="86"/>
        <item x="247"/>
        <item x="252"/>
        <item x="292"/>
        <item x="193"/>
        <item x="18"/>
        <item x="396"/>
        <item x="288"/>
        <item x="55"/>
        <item x="108"/>
        <item x="79"/>
        <item x="106"/>
        <item x="502"/>
        <item x="123"/>
        <item x="307"/>
        <item x="199"/>
        <item x="540"/>
        <item x="74"/>
        <item x="426"/>
        <item x="37"/>
        <item x="370"/>
        <item x="328"/>
        <item x="538"/>
        <item x="356"/>
        <item x="264"/>
        <item x="371"/>
        <item x="250"/>
        <item x="541"/>
        <item x="9"/>
        <item x="231"/>
        <item x="414"/>
        <item x="459"/>
        <item x="93"/>
        <item x="530"/>
        <item x="498"/>
        <item x="368"/>
        <item x="348"/>
        <item x="420"/>
        <item x="507"/>
        <item x="297"/>
        <item x="369"/>
        <item x="235"/>
        <item x="342"/>
        <item x="114"/>
        <item x="286"/>
        <item x="226"/>
        <item x="419"/>
        <item x="94"/>
        <item x="17"/>
        <item x="516"/>
        <item x="232"/>
        <item x="494"/>
        <item x="528"/>
        <item x="84"/>
        <item x="234"/>
        <item x="97"/>
        <item x="203"/>
        <item x="434"/>
        <item x="80"/>
        <item x="163"/>
        <item x="194"/>
        <item x="535"/>
        <item x="422"/>
        <item x="446"/>
        <item x="311"/>
        <item x="2"/>
        <item x="461"/>
        <item x="444"/>
        <item x="57"/>
        <item x="42"/>
        <item x="389"/>
        <item x="337"/>
        <item x="237"/>
        <item x="441"/>
        <item x="138"/>
        <item x="518"/>
        <item x="478"/>
        <item x="19"/>
        <item x="110"/>
        <item x="340"/>
        <item x="211"/>
        <item x="443"/>
        <item x="460"/>
        <item x="221"/>
        <item x="486"/>
        <item x="274"/>
        <item x="283"/>
        <item x="427"/>
        <item x="151"/>
        <item x="66"/>
        <item x="202"/>
        <item x="539"/>
        <item x="375"/>
        <item x="488"/>
        <item x="475"/>
        <item x="124"/>
        <item x="536"/>
        <item x="112"/>
        <item x="68"/>
        <item x="43"/>
        <item x="139"/>
        <item x="379"/>
        <item x="303"/>
        <item x="220"/>
        <item x="308"/>
        <item x="201"/>
        <item x="150"/>
        <item x="215"/>
        <item x="58"/>
        <item x="156"/>
        <item x="457"/>
        <item x="165"/>
        <item x="529"/>
        <item x="75"/>
        <item x="282"/>
        <item x="295"/>
        <item x="470"/>
        <item x="256"/>
        <item x="522"/>
        <item x="384"/>
        <item x="453"/>
        <item x="472"/>
        <item x="338"/>
        <item x="132"/>
        <item x="517"/>
        <item x="410"/>
        <item x="69"/>
        <item x="390"/>
        <item x="253"/>
        <item x="44"/>
        <item x="332"/>
        <item x="387"/>
        <item x="180"/>
        <item x="474"/>
        <item x="393"/>
        <item x="354"/>
        <item x="279"/>
        <item x="350"/>
        <item x="296"/>
        <item x="284"/>
        <item x="278"/>
        <item x="335"/>
        <item x="464"/>
        <item x="331"/>
        <item x="304"/>
        <item x="184"/>
        <item x="469"/>
        <item x="306"/>
        <item x="212"/>
        <item x="395"/>
        <item x="224"/>
        <item x="171"/>
        <item x="145"/>
        <item x="377"/>
        <item x="6"/>
        <item x="249"/>
        <item x="487"/>
        <item x="240"/>
        <item x="312"/>
        <item x="241"/>
        <item x="214"/>
        <item x="471"/>
        <item x="327"/>
        <item x="129"/>
        <item x="246"/>
        <item x="372"/>
        <item x="98"/>
        <item x="135"/>
        <item x="38"/>
        <item x="166"/>
        <item x="3"/>
        <item x="329"/>
        <item x="28"/>
        <item x="96"/>
        <item x="263"/>
        <item x="556"/>
        <item x="532"/>
        <item x="136"/>
        <item x="265"/>
        <item x="168"/>
        <item x="131"/>
        <item x="448"/>
        <item x="534"/>
        <item x="137"/>
        <item x="397"/>
        <item x="26"/>
        <item x="521"/>
        <item x="360"/>
        <item x="119"/>
        <item x="59"/>
        <item x="187"/>
        <item x="61"/>
        <item x="77"/>
        <item x="380"/>
        <item x="429"/>
        <item x="233"/>
        <item x="392"/>
        <item x="411"/>
        <item x="261"/>
        <item x="10"/>
        <item x="185"/>
        <item x="442"/>
        <item x="341"/>
        <item x="381"/>
        <item x="497"/>
        <item x="430"/>
        <item x="238"/>
        <item x="254"/>
        <item x="545"/>
        <item x="196"/>
        <item x="425"/>
        <item x="467"/>
        <item x="343"/>
        <item x="169"/>
        <item x="206"/>
        <item x="218"/>
        <item x="23"/>
        <item x="386"/>
        <item x="376"/>
        <item x="255"/>
        <item t="default"/>
      </items>
    </pivotField>
    <pivotField showAll="0"/>
    <pivotField numFmtId="168" showAll="0"/>
    <pivotField numFmtId="168" showAll="0"/>
    <pivotField numFmtId="168" showAll="0"/>
  </pivotFields>
  <rowFields count="1">
    <field x="1"/>
  </rowFields>
  <rowItems count="9">
    <i>
      <x v="1"/>
    </i>
    <i>
      <x v="5"/>
    </i>
    <i>
      <x v="6"/>
    </i>
    <i>
      <x v="2"/>
    </i>
    <i>
      <x v="4"/>
    </i>
    <i>
      <x/>
    </i>
    <i>
      <x v="3"/>
    </i>
    <i>
      <x v="7"/>
    </i>
    <i t="grand">
      <x/>
    </i>
  </rowItems>
  <colItems count="1">
    <i/>
  </colItems>
  <dataFields count="1">
    <dataField name="Sum of Net Sales" fld="16" baseField="0" baseItem="0" numFmtId="165"/>
  </dataFields>
  <formats count="2">
    <format dxfId="39">
      <pivotArea outline="0" collapsedLevelsAreSubtotals="1" fieldPosition="0"/>
    </format>
    <format dxfId="40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2204A-86FA-4F0B-A113-D9568129193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T4:U7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numFmtId="168" showAll="0"/>
    <pivotField showAll="0"/>
    <pivotField showAll="0"/>
    <pivotField numFmtId="168" showAll="0"/>
    <pivotField numFmtId="168" showAll="0"/>
    <pivotField dataField="1" numFmtId="168" showAll="0"/>
    <pivotField showAll="0"/>
    <pivotField numFmtId="168" showAll="0"/>
    <pivotField numFmtId="168" showAll="0"/>
    <pivotField numFmtId="168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Net Sales" fld="16" baseField="0" baseItem="0" numFmtId="165"/>
  </dataFields>
  <formats count="2">
    <format dxfId="41">
      <pivotArea outline="0" collapsedLevelsAreSubtotals="1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51468-EA7D-441D-98FA-A0DD34C8EFB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D22:E28" firstHeaderRow="1" firstDataRow="1" firstDataCol="1"/>
  <pivotFields count="21">
    <pivotField axis="axisRow" showAll="0">
      <items count="6">
        <item x="4"/>
        <item x="0"/>
        <item x="3"/>
        <item x="1"/>
        <item x="2"/>
        <item t="default"/>
      </items>
    </pivotField>
    <pivotField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68" showAll="0"/>
    <pivotField showAll="0"/>
    <pivotField showAll="0"/>
    <pivotField numFmtId="168" showAll="0"/>
    <pivotField numFmtId="168" showAll="0"/>
    <pivotField numFmtId="168" showAll="0"/>
    <pivotField showAll="0"/>
    <pivotField numFmtId="168" showAll="0"/>
    <pivotField dataField="1" numFmtId="168" showAll="0"/>
    <pivotField numFmtId="168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9" baseField="0" baseItem="0" numFmtId="165"/>
  </dataFields>
  <formats count="2">
    <format dxfId="43">
      <pivotArea outline="0" collapsedLevelsAreSubtotals="1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24DD6-12F0-43C2-BDF3-95EFBC509CF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D36:E42" firstHeaderRow="1" firstDataRow="1" firstDataCol="1"/>
  <pivotFields count="21">
    <pivotField axis="axisRow" showAll="0">
      <items count="6">
        <item x="4"/>
        <item x="0"/>
        <item x="3"/>
        <item x="1"/>
        <item x="2"/>
        <item t="default"/>
      </items>
    </pivotField>
    <pivotField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showAll="0"/>
    <pivotField showAll="0"/>
    <pivotField showAll="0"/>
    <pivotField showAll="0">
      <items count="95">
        <item x="77"/>
        <item x="67"/>
        <item x="39"/>
        <item x="86"/>
        <item x="57"/>
        <item x="19"/>
        <item x="78"/>
        <item x="40"/>
        <item x="87"/>
        <item x="93"/>
        <item x="20"/>
        <item x="58"/>
        <item x="68"/>
        <item x="44"/>
        <item x="24"/>
        <item x="17"/>
        <item x="92"/>
        <item x="66"/>
        <item x="55"/>
        <item x="85"/>
        <item x="37"/>
        <item x="5"/>
        <item x="45"/>
        <item x="25"/>
        <item x="80"/>
        <item x="89"/>
        <item x="30"/>
        <item x="59"/>
        <item x="10"/>
        <item x="70"/>
        <item x="62"/>
        <item x="33"/>
        <item x="73"/>
        <item x="81"/>
        <item x="51"/>
        <item x="13"/>
        <item x="28"/>
        <item x="48"/>
        <item x="23"/>
        <item x="43"/>
        <item x="21"/>
        <item x="41"/>
        <item x="69"/>
        <item x="79"/>
        <item x="88"/>
        <item x="1"/>
        <item x="6"/>
        <item x="35"/>
        <item x="15"/>
        <item x="75"/>
        <item x="83"/>
        <item x="90"/>
        <item x="64"/>
        <item x="53"/>
        <item x="16"/>
        <item x="84"/>
        <item x="91"/>
        <item x="36"/>
        <item x="65"/>
        <item x="54"/>
        <item x="7"/>
        <item x="56"/>
        <item x="76"/>
        <item x="18"/>
        <item x="38"/>
        <item x="0"/>
        <item x="4"/>
        <item x="61"/>
        <item x="32"/>
        <item x="12"/>
        <item x="72"/>
        <item x="50"/>
        <item x="8"/>
        <item x="49"/>
        <item x="60"/>
        <item x="11"/>
        <item x="71"/>
        <item x="31"/>
        <item x="26"/>
        <item x="46"/>
        <item x="2"/>
        <item x="3"/>
        <item x="52"/>
        <item x="34"/>
        <item x="74"/>
        <item x="14"/>
        <item x="82"/>
        <item x="63"/>
        <item x="22"/>
        <item x="42"/>
        <item x="27"/>
        <item x="47"/>
        <item x="9"/>
        <item x="29"/>
        <item t="default"/>
      </items>
    </pivotField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numFmtId="168" showAll="0"/>
    <pivotField showAll="0"/>
    <pivotField showAll="0"/>
    <pivotField numFmtId="168" showAll="0"/>
    <pivotField numFmtId="168" showAll="0"/>
    <pivotField numFmtId="168" showAll="0"/>
    <pivotField showAll="0"/>
    <pivotField numFmtId="168" showAll="0"/>
    <pivotField numFmtId="168" showAll="0"/>
    <pivotField numFmtId="168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11" baseField="0" baseItem="0" numFmtId="165"/>
  </dataFields>
  <formats count="2">
    <format dxfId="45">
      <pivotArea outline="0" collapsedLevelsAreSubtotals="1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A16AA-AC3E-4A6C-80DE-A3DEC867A53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G22:H29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axis="axisRow" showAll="0" sortType="descending">
      <items count="7">
        <item x="1"/>
        <item x="4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68" showAll="0"/>
    <pivotField showAll="0"/>
    <pivotField showAll="0"/>
    <pivotField numFmtId="168" showAll="0"/>
    <pivotField numFmtId="168" showAll="0"/>
    <pivotField numFmtId="168" showAll="0"/>
    <pivotField showAll="0"/>
    <pivotField numFmtId="168" showAll="0"/>
    <pivotField dataField="1" numFmtId="168" showAll="0"/>
    <pivotField numFmtId="168" showAll="0"/>
  </pivotFields>
  <rowFields count="1">
    <field x="2"/>
  </rowFields>
  <rowItems count="7">
    <i>
      <x/>
    </i>
    <i>
      <x v="4"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 of Profit" fld="19" baseField="0" baseItem="0" numFmtId="165"/>
  </dataFields>
  <formats count="1">
    <format dxfId="47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86B8-0CB9-4EB2-B496-E42FFF8C6048}">
  <dimension ref="A3:Y99"/>
  <sheetViews>
    <sheetView tabSelected="1" zoomScale="90" zoomScaleNormal="90" workbookViewId="0">
      <selection activeCell="P16" sqref="P16"/>
    </sheetView>
  </sheetViews>
  <sheetFormatPr defaultRowHeight="14.4" x14ac:dyDescent="0.3"/>
  <cols>
    <col min="1" max="1" width="11.21875" bestFit="1" customWidth="1"/>
    <col min="2" max="2" width="16.5546875" style="2" bestFit="1" customWidth="1"/>
    <col min="3" max="3" width="17.77734375" bestFit="1" customWidth="1"/>
    <col min="4" max="4" width="15.88671875" bestFit="1" customWidth="1"/>
    <col min="5" max="5" width="16.5546875" style="3" bestFit="1" customWidth="1"/>
    <col min="7" max="7" width="13.21875" bestFit="1" customWidth="1"/>
    <col min="8" max="8" width="15.88671875" style="2" bestFit="1" customWidth="1"/>
    <col min="9" max="9" width="13.21875" bestFit="1" customWidth="1"/>
    <col min="10" max="10" width="11.21875" bestFit="1" customWidth="1"/>
    <col min="11" max="11" width="15.88671875" style="2" bestFit="1" customWidth="1"/>
    <col min="12" max="12" width="16.6640625" style="2" customWidth="1"/>
    <col min="13" max="13" width="17.44140625" style="4" bestFit="1" customWidth="1"/>
    <col min="14" max="14" width="17.109375" bestFit="1" customWidth="1"/>
    <col min="15" max="15" width="9.77734375" bestFit="1" customWidth="1"/>
    <col min="16" max="17" width="12.5546875" bestFit="1" customWidth="1"/>
    <col min="18" max="18" width="12.5546875" customWidth="1"/>
    <col min="19" max="19" width="12.6640625" customWidth="1"/>
    <col min="20" max="20" width="11.21875" bestFit="1" customWidth="1"/>
    <col min="21" max="21" width="15.88671875" style="2" bestFit="1" customWidth="1"/>
    <col min="22" max="22" width="11.109375" bestFit="1" customWidth="1"/>
    <col min="23" max="23" width="18" bestFit="1" customWidth="1"/>
    <col min="24" max="24" width="15.88671875" bestFit="1" customWidth="1"/>
    <col min="25" max="25" width="8.88671875" style="2"/>
  </cols>
  <sheetData>
    <row r="3" spans="1:24" x14ac:dyDescent="0.3">
      <c r="A3" s="1" t="s">
        <v>0</v>
      </c>
    </row>
    <row r="4" spans="1:24" x14ac:dyDescent="0.3">
      <c r="A4" s="23" t="s">
        <v>1</v>
      </c>
      <c r="B4" s="5" t="s">
        <v>2</v>
      </c>
      <c r="D4" s="23" t="s">
        <v>3</v>
      </c>
      <c r="E4" s="5" t="s">
        <v>2</v>
      </c>
      <c r="G4" s="23" t="s">
        <v>4</v>
      </c>
      <c r="H4" s="5" t="s">
        <v>2</v>
      </c>
      <c r="J4" s="23" t="s">
        <v>5</v>
      </c>
      <c r="K4" s="5" t="s">
        <v>2</v>
      </c>
      <c r="L4" s="6" t="s">
        <v>6</v>
      </c>
      <c r="M4" s="7" t="s">
        <v>7</v>
      </c>
      <c r="N4" s="8" t="s">
        <v>8</v>
      </c>
      <c r="O4" s="6" t="s">
        <v>9</v>
      </c>
      <c r="P4" s="6" t="s">
        <v>7</v>
      </c>
      <c r="Q4" s="6" t="s">
        <v>8</v>
      </c>
      <c r="R4" s="6" t="s">
        <v>10</v>
      </c>
      <c r="S4" s="2"/>
      <c r="T4" s="23" t="s">
        <v>11</v>
      </c>
      <c r="U4" s="5" t="s">
        <v>2</v>
      </c>
      <c r="W4" s="23" t="s">
        <v>12</v>
      </c>
      <c r="X4" s="5" t="s">
        <v>2</v>
      </c>
    </row>
    <row r="5" spans="1:24" x14ac:dyDescent="0.3">
      <c r="A5" s="9" t="s">
        <v>13</v>
      </c>
      <c r="B5" s="5">
        <v>94594406.059999943</v>
      </c>
      <c r="D5" s="9" t="s">
        <v>14</v>
      </c>
      <c r="E5" s="5">
        <v>33246253.949999999</v>
      </c>
      <c r="G5" s="9" t="s">
        <v>15</v>
      </c>
      <c r="H5" s="5">
        <v>59510908.090000011</v>
      </c>
      <c r="J5" s="9" t="s">
        <v>16</v>
      </c>
      <c r="K5" s="5">
        <v>19586952.829999998</v>
      </c>
      <c r="L5" s="2" t="s">
        <v>16</v>
      </c>
      <c r="M5" s="10">
        <v>19586952.829999998</v>
      </c>
      <c r="N5" s="11">
        <v>18300907.829999998</v>
      </c>
      <c r="O5" s="12">
        <f>N5/M5-1</f>
        <v>-6.5658247669349246E-2</v>
      </c>
      <c r="P5" s="12"/>
      <c r="Q5" s="12"/>
      <c r="R5" s="12"/>
      <c r="S5" s="11"/>
      <c r="T5" s="9">
        <v>2020</v>
      </c>
      <c r="U5" s="5">
        <v>101214228.93999997</v>
      </c>
      <c r="W5" s="9" t="s">
        <v>17</v>
      </c>
      <c r="X5" s="13">
        <v>42412</v>
      </c>
    </row>
    <row r="6" spans="1:24" x14ac:dyDescent="0.3">
      <c r="A6" s="9" t="s">
        <v>18</v>
      </c>
      <c r="B6" s="5">
        <v>76370791.5</v>
      </c>
      <c r="D6" s="9" t="s">
        <v>19</v>
      </c>
      <c r="E6" s="5">
        <v>31934087.82</v>
      </c>
      <c r="G6" s="9" t="s">
        <v>20</v>
      </c>
      <c r="H6" s="5">
        <v>24906510.330000009</v>
      </c>
      <c r="J6" s="9" t="s">
        <v>21</v>
      </c>
      <c r="K6" s="5">
        <v>12559870.780000003</v>
      </c>
      <c r="L6" s="2" t="s">
        <v>21</v>
      </c>
      <c r="M6" s="10">
        <v>12559871</v>
      </c>
      <c r="N6" s="11">
        <v>23544302.829999998</v>
      </c>
      <c r="O6" s="12">
        <f>N6/M6-1</f>
        <v>0.87456565676510523</v>
      </c>
      <c r="P6" s="12"/>
      <c r="Q6" s="12"/>
      <c r="R6" s="12"/>
      <c r="S6" s="11"/>
      <c r="T6" s="9">
        <v>2021</v>
      </c>
      <c r="U6" s="5">
        <v>112769385.22999999</v>
      </c>
      <c r="W6" s="9" t="s">
        <v>22</v>
      </c>
      <c r="X6" s="13">
        <v>4187425.5</v>
      </c>
    </row>
    <row r="7" spans="1:24" x14ac:dyDescent="0.3">
      <c r="A7" s="9" t="s">
        <v>23</v>
      </c>
      <c r="B7" s="14">
        <v>35394758.120000012</v>
      </c>
      <c r="D7" s="9" t="s">
        <v>24</v>
      </c>
      <c r="E7" s="5">
        <v>30602373.989999998</v>
      </c>
      <c r="G7" s="9" t="s">
        <v>25</v>
      </c>
      <c r="H7" s="5">
        <v>32888739.549999997</v>
      </c>
      <c r="J7" s="9" t="s">
        <v>26</v>
      </c>
      <c r="K7" s="5">
        <v>14760035.269999998</v>
      </c>
      <c r="L7" s="2" t="s">
        <v>26</v>
      </c>
      <c r="M7" s="10">
        <v>14760035</v>
      </c>
      <c r="N7" s="11">
        <v>21303973.829999998</v>
      </c>
      <c r="O7" s="12">
        <f t="shared" ref="O7:O16" si="0">N7/M7-1</f>
        <v>0.44335523797877152</v>
      </c>
      <c r="P7" s="12"/>
      <c r="Q7" s="12"/>
      <c r="R7" s="12"/>
      <c r="S7" s="11"/>
      <c r="T7" s="9" t="s">
        <v>27</v>
      </c>
      <c r="U7" s="5">
        <v>213983614.16999996</v>
      </c>
      <c r="W7" s="9" t="s">
        <v>28</v>
      </c>
      <c r="X7" s="13">
        <v>6426833.9899999993</v>
      </c>
    </row>
    <row r="8" spans="1:24" x14ac:dyDescent="0.3">
      <c r="A8" s="9" t="s">
        <v>29</v>
      </c>
      <c r="B8" s="5">
        <v>4382612.5099999979</v>
      </c>
      <c r="D8" s="9" t="s">
        <v>30</v>
      </c>
      <c r="E8" s="5">
        <v>26015588.509999994</v>
      </c>
      <c r="G8" s="9" t="s">
        <v>31</v>
      </c>
      <c r="H8" s="5">
        <v>36954749.680000007</v>
      </c>
      <c r="J8" s="9" t="s">
        <v>32</v>
      </c>
      <c r="K8" s="5">
        <v>19832926.310000002</v>
      </c>
      <c r="L8" s="2" t="s">
        <v>32</v>
      </c>
      <c r="M8" s="10">
        <v>19832926</v>
      </c>
      <c r="N8" s="11">
        <v>10611141.83</v>
      </c>
      <c r="O8" s="12">
        <f t="shared" si="0"/>
        <v>-0.46497345726999639</v>
      </c>
      <c r="P8" s="12"/>
      <c r="Q8" s="12"/>
      <c r="R8" s="12"/>
      <c r="S8" s="11"/>
      <c r="W8" s="9" t="s">
        <v>33</v>
      </c>
      <c r="X8" s="13">
        <v>1314274.7000000002</v>
      </c>
    </row>
    <row r="9" spans="1:24" x14ac:dyDescent="0.3">
      <c r="A9" s="9" t="s">
        <v>34</v>
      </c>
      <c r="B9" s="5">
        <v>3241045.9800000004</v>
      </c>
      <c r="D9" s="9" t="s">
        <v>35</v>
      </c>
      <c r="E9" s="5">
        <v>25829424.969999999</v>
      </c>
      <c r="G9" s="9" t="s">
        <v>36</v>
      </c>
      <c r="H9" s="5">
        <v>27743507.100000001</v>
      </c>
      <c r="J9" s="9" t="s">
        <v>37</v>
      </c>
      <c r="K9" s="5">
        <v>20273739.370000005</v>
      </c>
      <c r="L9" s="2" t="s">
        <v>37</v>
      </c>
      <c r="M9" s="10">
        <v>20273739</v>
      </c>
      <c r="N9" s="11">
        <v>14661450.829999998</v>
      </c>
      <c r="O9" s="12">
        <f t="shared" si="0"/>
        <v>-0.27682551156449242</v>
      </c>
      <c r="P9" s="12"/>
      <c r="Q9" s="12"/>
      <c r="R9" s="12"/>
      <c r="S9" s="11"/>
      <c r="W9" s="9" t="s">
        <v>38</v>
      </c>
      <c r="X9" s="13">
        <v>1448543.6</v>
      </c>
    </row>
    <row r="10" spans="1:24" x14ac:dyDescent="0.3">
      <c r="A10" s="9" t="s">
        <v>27</v>
      </c>
      <c r="B10" s="11">
        <v>213983614.16999996</v>
      </c>
      <c r="D10" s="9" t="s">
        <v>39</v>
      </c>
      <c r="E10" s="5">
        <v>24575150.859999999</v>
      </c>
      <c r="G10" s="9" t="s">
        <v>40</v>
      </c>
      <c r="H10" s="5">
        <v>31979199.419999991</v>
      </c>
      <c r="J10" s="9" t="s">
        <v>41</v>
      </c>
      <c r="K10" s="5">
        <v>19539371.70000001</v>
      </c>
      <c r="L10" s="2" t="s">
        <v>41</v>
      </c>
      <c r="M10" s="10">
        <v>19539372</v>
      </c>
      <c r="N10" s="11">
        <v>22614103.829999998</v>
      </c>
      <c r="O10" s="12">
        <f t="shared" si="0"/>
        <v>0.15736083176061122</v>
      </c>
      <c r="P10" s="12"/>
      <c r="Q10" s="12"/>
      <c r="R10" s="12"/>
      <c r="S10" s="11"/>
      <c r="W10" s="9" t="s">
        <v>42</v>
      </c>
      <c r="X10" s="13">
        <v>2872809</v>
      </c>
    </row>
    <row r="11" spans="1:24" x14ac:dyDescent="0.3">
      <c r="D11" s="9" t="s">
        <v>43</v>
      </c>
      <c r="E11" s="5">
        <v>22464931.600000009</v>
      </c>
      <c r="G11" s="9" t="s">
        <v>27</v>
      </c>
      <c r="H11" s="5">
        <v>213983614.17000002</v>
      </c>
      <c r="J11" s="9" t="s">
        <v>44</v>
      </c>
      <c r="K11" s="5">
        <v>23694287.690000001</v>
      </c>
      <c r="L11" s="2" t="s">
        <v>44</v>
      </c>
      <c r="M11" s="10">
        <v>23694288</v>
      </c>
      <c r="N11" s="11">
        <v>18334866.829999998</v>
      </c>
      <c r="O11" s="12">
        <f t="shared" si="0"/>
        <v>-0.22619042910257536</v>
      </c>
      <c r="P11" s="12"/>
      <c r="Q11" s="12"/>
      <c r="R11" s="12"/>
      <c r="S11" s="11"/>
      <c r="W11" s="9" t="s">
        <v>45</v>
      </c>
      <c r="X11" s="13">
        <v>77869.62</v>
      </c>
    </row>
    <row r="12" spans="1:24" x14ac:dyDescent="0.3">
      <c r="D12" s="9" t="s">
        <v>46</v>
      </c>
      <c r="E12" s="5">
        <v>19315802.47000001</v>
      </c>
      <c r="J12" s="9" t="s">
        <v>47</v>
      </c>
      <c r="K12" s="5">
        <v>20283731.590000004</v>
      </c>
      <c r="L12" s="2" t="s">
        <v>47</v>
      </c>
      <c r="M12" s="10">
        <v>20283732</v>
      </c>
      <c r="N12" s="11">
        <v>20514112.829999998</v>
      </c>
      <c r="O12" s="12">
        <f t="shared" si="0"/>
        <v>1.1357911354774375E-2</v>
      </c>
      <c r="P12" s="12"/>
      <c r="Q12" s="12"/>
      <c r="R12" s="12"/>
      <c r="S12" s="11"/>
      <c r="W12" s="9" t="s">
        <v>48</v>
      </c>
      <c r="X12" s="13">
        <v>1192495.04</v>
      </c>
    </row>
    <row r="13" spans="1:24" x14ac:dyDescent="0.3">
      <c r="D13" s="9" t="s">
        <v>27</v>
      </c>
      <c r="E13" s="5">
        <v>213983614.17000002</v>
      </c>
      <c r="J13" s="9" t="s">
        <v>49</v>
      </c>
      <c r="K13" s="5">
        <v>16440229.02</v>
      </c>
      <c r="L13" s="2" t="s">
        <v>49</v>
      </c>
      <c r="M13" s="10">
        <v>16440229</v>
      </c>
      <c r="N13" s="11">
        <v>20199829.829999998</v>
      </c>
      <c r="O13" s="12">
        <f t="shared" si="0"/>
        <v>0.22868299644731205</v>
      </c>
      <c r="P13" s="12"/>
      <c r="Q13" s="12"/>
      <c r="R13" s="12"/>
      <c r="S13" s="11"/>
      <c r="W13" s="9" t="s">
        <v>50</v>
      </c>
      <c r="X13" s="13">
        <v>871166.39999999991</v>
      </c>
    </row>
    <row r="14" spans="1:24" x14ac:dyDescent="0.3">
      <c r="J14" s="9" t="s">
        <v>51</v>
      </c>
      <c r="K14" s="5">
        <v>12233660.509999998</v>
      </c>
      <c r="L14" s="2" t="s">
        <v>51</v>
      </c>
      <c r="M14" s="10">
        <v>12233661</v>
      </c>
      <c r="N14" s="11">
        <v>12194029.83</v>
      </c>
      <c r="O14" s="12">
        <f t="shared" si="0"/>
        <v>-3.2395184074497374E-3</v>
      </c>
      <c r="P14" s="12"/>
      <c r="Q14" s="12"/>
      <c r="R14" s="12"/>
      <c r="S14" s="11"/>
      <c r="W14" s="9" t="s">
        <v>52</v>
      </c>
      <c r="X14" s="13">
        <v>167140.08000000002</v>
      </c>
    </row>
    <row r="15" spans="1:24" x14ac:dyDescent="0.3">
      <c r="J15" s="9" t="s">
        <v>53</v>
      </c>
      <c r="K15" s="5">
        <v>14385937.550000001</v>
      </c>
      <c r="L15" s="2" t="s">
        <v>53</v>
      </c>
      <c r="M15" s="10">
        <v>14385938</v>
      </c>
      <c r="N15" s="11">
        <v>12337190.83</v>
      </c>
      <c r="O15" s="12">
        <f t="shared" si="0"/>
        <v>-0.14241317945343568</v>
      </c>
      <c r="P15" s="12"/>
      <c r="Q15" s="12"/>
      <c r="R15" s="12"/>
      <c r="S15" s="11"/>
      <c r="W15" s="9" t="s">
        <v>54</v>
      </c>
      <c r="X15" s="13">
        <v>2517455.42</v>
      </c>
    </row>
    <row r="16" spans="1:24" x14ac:dyDescent="0.3">
      <c r="J16" s="9" t="s">
        <v>55</v>
      </c>
      <c r="K16" s="5">
        <v>20392871.550000004</v>
      </c>
      <c r="L16" s="2" t="s">
        <v>55</v>
      </c>
      <c r="M16" s="10">
        <v>20392872</v>
      </c>
      <c r="N16" s="11">
        <v>15522498.83</v>
      </c>
      <c r="O16" s="12">
        <f t="shared" si="0"/>
        <v>-0.23882723188769095</v>
      </c>
      <c r="P16" s="10">
        <v>20392872</v>
      </c>
      <c r="Q16" s="11">
        <v>15522498.83</v>
      </c>
      <c r="R16" s="11"/>
      <c r="S16" s="11"/>
      <c r="W16" s="9" t="s">
        <v>56</v>
      </c>
      <c r="X16" s="13">
        <v>2054157.19</v>
      </c>
    </row>
    <row r="17" spans="1:24" x14ac:dyDescent="0.3">
      <c r="J17" s="9" t="s">
        <v>27</v>
      </c>
      <c r="K17" s="5">
        <v>213983614.17000005</v>
      </c>
      <c r="L17" s="15"/>
      <c r="M17" s="10"/>
      <c r="N17" s="16"/>
      <c r="O17" s="12"/>
      <c r="P17" s="12"/>
      <c r="Q17" s="12"/>
      <c r="R17" s="12"/>
      <c r="S17" s="16"/>
      <c r="W17" s="9" t="s">
        <v>57</v>
      </c>
      <c r="X17" s="13">
        <v>96393.78</v>
      </c>
    </row>
    <row r="18" spans="1:24" x14ac:dyDescent="0.3">
      <c r="W18" s="9" t="s">
        <v>58</v>
      </c>
      <c r="X18" s="13">
        <v>56037.66</v>
      </c>
    </row>
    <row r="19" spans="1:24" x14ac:dyDescent="0.3">
      <c r="W19" s="9" t="s">
        <v>59</v>
      </c>
      <c r="X19" s="13">
        <v>195496.92</v>
      </c>
    </row>
    <row r="20" spans="1:24" x14ac:dyDescent="0.3">
      <c r="A20" s="1" t="s">
        <v>60</v>
      </c>
      <c r="W20" s="9" t="s">
        <v>61</v>
      </c>
      <c r="X20" s="13">
        <v>222534.53999999998</v>
      </c>
    </row>
    <row r="21" spans="1:24" x14ac:dyDescent="0.3">
      <c r="W21" s="9" t="s">
        <v>62</v>
      </c>
      <c r="X21" s="13">
        <v>1523763.6800000002</v>
      </c>
    </row>
    <row r="22" spans="1:24" x14ac:dyDescent="0.3">
      <c r="A22" s="23" t="s">
        <v>3</v>
      </c>
      <c r="B22" s="5" t="s">
        <v>63</v>
      </c>
      <c r="D22" s="23" t="s">
        <v>1</v>
      </c>
      <c r="E22" s="5" t="s">
        <v>63</v>
      </c>
      <c r="G22" s="23" t="s">
        <v>4</v>
      </c>
      <c r="H22" t="s">
        <v>63</v>
      </c>
      <c r="W22" s="9" t="s">
        <v>64</v>
      </c>
      <c r="X22" s="13">
        <v>3073412.42</v>
      </c>
    </row>
    <row r="23" spans="1:24" x14ac:dyDescent="0.3">
      <c r="A23" s="9" t="s">
        <v>46</v>
      </c>
      <c r="B23" s="5">
        <v>3186122.4700000007</v>
      </c>
      <c r="D23" s="9" t="s">
        <v>34</v>
      </c>
      <c r="E23" s="5">
        <v>-21710750.02</v>
      </c>
      <c r="G23" s="9" t="s">
        <v>15</v>
      </c>
      <c r="H23" s="5">
        <v>54640288.090000011</v>
      </c>
      <c r="I23" s="17">
        <v>54640288.090000011</v>
      </c>
      <c r="J23" s="18">
        <f t="shared" ref="J23:J28" si="1">SUM(I23)/SUM($I$23:$I$28)</f>
        <v>0.96829622629427192</v>
      </c>
      <c r="W23" s="9" t="s">
        <v>65</v>
      </c>
      <c r="X23" s="13">
        <v>3247125.64</v>
      </c>
    </row>
    <row r="24" spans="1:24" x14ac:dyDescent="0.3">
      <c r="A24" s="9" t="s">
        <v>24</v>
      </c>
      <c r="B24" s="5">
        <v>10600165.990000002</v>
      </c>
      <c r="D24" s="9" t="s">
        <v>23</v>
      </c>
      <c r="E24" s="5">
        <v>12877008.119999999</v>
      </c>
      <c r="G24" s="9" t="s">
        <v>36</v>
      </c>
      <c r="H24" s="5">
        <v>26633291.099999998</v>
      </c>
      <c r="I24" s="17">
        <v>24201658.330000006</v>
      </c>
      <c r="J24" s="18">
        <f t="shared" si="1"/>
        <v>0.42888453282681682</v>
      </c>
      <c r="W24" s="9" t="s">
        <v>66</v>
      </c>
      <c r="X24" s="13">
        <v>5699533.8700000001</v>
      </c>
    </row>
    <row r="25" spans="1:24" x14ac:dyDescent="0.3">
      <c r="A25" s="9" t="s">
        <v>19</v>
      </c>
      <c r="B25" s="5">
        <v>23292643.820000008</v>
      </c>
      <c r="D25" s="9" t="s">
        <v>13</v>
      </c>
      <c r="E25" s="5">
        <v>29116114.059999976</v>
      </c>
      <c r="G25" s="9" t="s">
        <v>20</v>
      </c>
      <c r="H25" s="5">
        <v>24201658.330000006</v>
      </c>
      <c r="I25" s="17">
        <v>4042503.5499999975</v>
      </c>
      <c r="J25" s="18">
        <f t="shared" si="1"/>
        <v>7.163836555544402E-2</v>
      </c>
      <c r="W25" s="9" t="s">
        <v>67</v>
      </c>
      <c r="X25" s="13">
        <v>207351.66999999998</v>
      </c>
    </row>
    <row r="26" spans="1:24" x14ac:dyDescent="0.3">
      <c r="A26" s="9" t="s">
        <v>35</v>
      </c>
      <c r="B26" s="5">
        <v>12327402.970000004</v>
      </c>
      <c r="D26" s="9" t="s">
        <v>29</v>
      </c>
      <c r="E26" s="5">
        <v>-16357677.489999996</v>
      </c>
      <c r="G26" s="9" t="s">
        <v>25</v>
      </c>
      <c r="H26" s="5">
        <v>4042503.5499999975</v>
      </c>
      <c r="I26" s="17">
        <v>-25426030.319999985</v>
      </c>
      <c r="J26" s="18">
        <f t="shared" si="1"/>
        <v>-0.45058198024042884</v>
      </c>
      <c r="W26" s="9" t="s">
        <v>68</v>
      </c>
      <c r="X26" s="13">
        <v>364587.25999999995</v>
      </c>
    </row>
    <row r="27" spans="1:24" x14ac:dyDescent="0.3">
      <c r="A27" s="9" t="s">
        <v>43</v>
      </c>
      <c r="B27" s="5">
        <v>-7875216.4000000022</v>
      </c>
      <c r="D27" s="9" t="s">
        <v>18</v>
      </c>
      <c r="E27" s="5">
        <v>52504615.5</v>
      </c>
      <c r="G27" s="9" t="s">
        <v>31</v>
      </c>
      <c r="H27" s="5">
        <v>-25426030.319999985</v>
      </c>
      <c r="I27" s="17">
        <v>26633291.099999998</v>
      </c>
      <c r="J27" s="18">
        <f t="shared" si="1"/>
        <v>0.47197619499093696</v>
      </c>
      <c r="W27" s="9" t="s">
        <v>69</v>
      </c>
      <c r="X27" s="13">
        <v>175226.65000000002</v>
      </c>
    </row>
    <row r="28" spans="1:24" x14ac:dyDescent="0.3">
      <c r="A28" s="9" t="s">
        <v>30</v>
      </c>
      <c r="B28" s="5">
        <v>9663458.5100000016</v>
      </c>
      <c r="D28" s="9" t="s">
        <v>27</v>
      </c>
      <c r="E28" s="5">
        <v>56429310.169999979</v>
      </c>
      <c r="G28" s="9" t="s">
        <v>40</v>
      </c>
      <c r="H28" s="5">
        <v>-27662400.580000002</v>
      </c>
      <c r="I28" s="17">
        <v>-27662400.580000002</v>
      </c>
      <c r="J28" s="18">
        <f t="shared" si="1"/>
        <v>-0.49021333942704098</v>
      </c>
      <c r="W28" s="9" t="s">
        <v>70</v>
      </c>
      <c r="X28" s="13">
        <v>407634.05999999994</v>
      </c>
    </row>
    <row r="29" spans="1:24" x14ac:dyDescent="0.3">
      <c r="A29" s="9" t="s">
        <v>14</v>
      </c>
      <c r="B29" s="5">
        <v>9727959.9499999993</v>
      </c>
      <c r="G29" s="9" t="s">
        <v>27</v>
      </c>
      <c r="H29" s="5">
        <v>56429310.170000032</v>
      </c>
      <c r="I29" s="19">
        <v>56429310.170000032</v>
      </c>
      <c r="J29" s="18">
        <f>SUM(I29)/SUM($I$23:$I$29)</f>
        <v>0.5</v>
      </c>
      <c r="W29" s="9" t="s">
        <v>71</v>
      </c>
      <c r="X29" s="13">
        <v>2248431.5</v>
      </c>
    </row>
    <row r="30" spans="1:24" x14ac:dyDescent="0.3">
      <c r="A30" s="9" t="s">
        <v>39</v>
      </c>
      <c r="B30" s="5">
        <v>-4493227.1399999997</v>
      </c>
      <c r="I30" s="18"/>
      <c r="W30" s="9" t="s">
        <v>72</v>
      </c>
      <c r="X30" s="13">
        <v>1539297</v>
      </c>
    </row>
    <row r="31" spans="1:24" x14ac:dyDescent="0.3">
      <c r="A31" s="9" t="s">
        <v>27</v>
      </c>
      <c r="B31" s="5">
        <v>56429310.170000017</v>
      </c>
      <c r="W31" s="9" t="s">
        <v>73</v>
      </c>
      <c r="X31" s="13">
        <v>1094199.33</v>
      </c>
    </row>
    <row r="32" spans="1:24" x14ac:dyDescent="0.3">
      <c r="W32" s="9" t="s">
        <v>74</v>
      </c>
      <c r="X32" s="13">
        <v>2059330.5</v>
      </c>
    </row>
    <row r="33" spans="1:24" x14ac:dyDescent="0.3">
      <c r="W33" s="9" t="s">
        <v>75</v>
      </c>
      <c r="X33" s="13">
        <v>636088.5</v>
      </c>
    </row>
    <row r="34" spans="1:24" x14ac:dyDescent="0.3">
      <c r="A34" s="1" t="s">
        <v>76</v>
      </c>
      <c r="W34" s="9" t="s">
        <v>77</v>
      </c>
      <c r="X34" s="13">
        <v>5050877.2800000012</v>
      </c>
    </row>
    <row r="35" spans="1:24" x14ac:dyDescent="0.3">
      <c r="W35" s="9" t="s">
        <v>78</v>
      </c>
      <c r="X35" s="13">
        <v>1903668.31</v>
      </c>
    </row>
    <row r="36" spans="1:24" x14ac:dyDescent="0.3">
      <c r="A36" s="23" t="s">
        <v>3</v>
      </c>
      <c r="B36" s="5" t="s">
        <v>79</v>
      </c>
      <c r="D36" s="23" t="s">
        <v>1</v>
      </c>
      <c r="E36" s="5" t="s">
        <v>79</v>
      </c>
      <c r="W36" s="9" t="s">
        <v>80</v>
      </c>
      <c r="X36" s="13">
        <v>3240693.46</v>
      </c>
    </row>
    <row r="37" spans="1:24" x14ac:dyDescent="0.3">
      <c r="A37" s="9" t="s">
        <v>46</v>
      </c>
      <c r="B37" s="5">
        <v>164484</v>
      </c>
      <c r="D37" s="9" t="s">
        <v>34</v>
      </c>
      <c r="E37" s="5">
        <v>193515</v>
      </c>
      <c r="W37" s="9" t="s">
        <v>81</v>
      </c>
      <c r="X37" s="13">
        <v>2073585.38</v>
      </c>
    </row>
    <row r="38" spans="1:24" x14ac:dyDescent="0.3">
      <c r="A38" s="9" t="s">
        <v>24</v>
      </c>
      <c r="B38" s="5">
        <v>190729</v>
      </c>
      <c r="D38" s="9" t="s">
        <v>23</v>
      </c>
      <c r="E38" s="5">
        <v>202260</v>
      </c>
      <c r="W38" s="9" t="s">
        <v>82</v>
      </c>
      <c r="X38" s="13">
        <v>468173.99</v>
      </c>
    </row>
    <row r="39" spans="1:24" x14ac:dyDescent="0.3">
      <c r="A39" s="9" t="s">
        <v>19</v>
      </c>
      <c r="B39" s="5">
        <v>199525</v>
      </c>
      <c r="D39" s="9" t="s">
        <v>13</v>
      </c>
      <c r="E39" s="5">
        <v>564802</v>
      </c>
      <c r="W39" s="9" t="s">
        <v>83</v>
      </c>
      <c r="X39" s="13">
        <v>4567373.95</v>
      </c>
    </row>
    <row r="40" spans="1:24" x14ac:dyDescent="0.3">
      <c r="A40" s="9" t="s">
        <v>35</v>
      </c>
      <c r="B40" s="5">
        <v>132630</v>
      </c>
      <c r="D40" s="9" t="s">
        <v>29</v>
      </c>
      <c r="E40" s="5">
        <v>206611</v>
      </c>
      <c r="W40" s="9" t="s">
        <v>84</v>
      </c>
      <c r="X40" s="13">
        <v>78228.540000000008</v>
      </c>
    </row>
    <row r="41" spans="1:24" x14ac:dyDescent="0.3">
      <c r="A41" s="9" t="s">
        <v>43</v>
      </c>
      <c r="B41" s="5">
        <v>143570</v>
      </c>
      <c r="D41" s="9" t="s">
        <v>18</v>
      </c>
      <c r="E41" s="5">
        <v>183768</v>
      </c>
      <c r="W41" s="9" t="s">
        <v>85</v>
      </c>
      <c r="X41" s="13">
        <v>789581.2</v>
      </c>
    </row>
    <row r="42" spans="1:24" x14ac:dyDescent="0.3">
      <c r="A42" s="9" t="s">
        <v>30</v>
      </c>
      <c r="B42" s="5">
        <v>144187</v>
      </c>
      <c r="D42" s="9" t="s">
        <v>27</v>
      </c>
      <c r="E42" s="5">
        <v>1350956</v>
      </c>
      <c r="W42" s="9" t="s">
        <v>86</v>
      </c>
      <c r="X42" s="13">
        <v>1199298.3400000001</v>
      </c>
    </row>
    <row r="43" spans="1:24" x14ac:dyDescent="0.3">
      <c r="A43" s="9" t="s">
        <v>14</v>
      </c>
      <c r="B43" s="5">
        <v>209620</v>
      </c>
      <c r="E43"/>
      <c r="W43" s="9" t="s">
        <v>87</v>
      </c>
      <c r="X43" s="13">
        <v>1933527.36</v>
      </c>
    </row>
    <row r="44" spans="1:24" x14ac:dyDescent="0.3">
      <c r="A44" s="9" t="s">
        <v>39</v>
      </c>
      <c r="B44" s="5">
        <v>166211</v>
      </c>
      <c r="E44"/>
      <c r="W44" s="9" t="s">
        <v>88</v>
      </c>
      <c r="X44" s="13">
        <v>247001.83</v>
      </c>
    </row>
    <row r="45" spans="1:24" x14ac:dyDescent="0.3">
      <c r="A45" s="9" t="s">
        <v>27</v>
      </c>
      <c r="B45" s="5">
        <v>1350956</v>
      </c>
      <c r="E45"/>
      <c r="W45" s="9" t="s">
        <v>89</v>
      </c>
      <c r="X45" s="13">
        <v>613541.76</v>
      </c>
    </row>
    <row r="46" spans="1:24" x14ac:dyDescent="0.3">
      <c r="W46" s="9" t="s">
        <v>90</v>
      </c>
      <c r="X46" s="13">
        <v>2696970.1300000004</v>
      </c>
    </row>
    <row r="47" spans="1:24" x14ac:dyDescent="0.3">
      <c r="W47" s="9" t="s">
        <v>91</v>
      </c>
      <c r="X47" s="13">
        <v>5800028.8599999994</v>
      </c>
    </row>
    <row r="48" spans="1:24" x14ac:dyDescent="0.3">
      <c r="A48" s="1" t="s">
        <v>92</v>
      </c>
      <c r="W48" s="9" t="s">
        <v>93</v>
      </c>
      <c r="X48" s="13">
        <v>276535.75</v>
      </c>
    </row>
    <row r="49" spans="1:24" x14ac:dyDescent="0.3">
      <c r="W49" s="9" t="s">
        <v>94</v>
      </c>
      <c r="X49" s="13">
        <v>85122.54</v>
      </c>
    </row>
    <row r="50" spans="1:24" x14ac:dyDescent="0.3">
      <c r="A50" t="s">
        <v>0</v>
      </c>
      <c r="B50" s="5">
        <f>GETPIVOTDATA("Net Sales",$A$4)</f>
        <v>213983614.16999996</v>
      </c>
      <c r="W50" s="9" t="s">
        <v>95</v>
      </c>
      <c r="X50" s="13">
        <v>443649.76</v>
      </c>
    </row>
    <row r="51" spans="1:24" x14ac:dyDescent="0.3">
      <c r="A51" t="s">
        <v>96</v>
      </c>
      <c r="B51" s="5">
        <f>GETPIVOTDATA("Profit",$D$22)</f>
        <v>56429310.169999979</v>
      </c>
      <c r="W51" s="9" t="s">
        <v>97</v>
      </c>
      <c r="X51" s="13">
        <v>1430862.3599999999</v>
      </c>
    </row>
    <row r="52" spans="1:24" x14ac:dyDescent="0.3">
      <c r="B52" s="20">
        <f>B51/B50</f>
        <v>0.26370855725976072</v>
      </c>
      <c r="W52" s="9" t="s">
        <v>98</v>
      </c>
      <c r="X52" s="13">
        <v>199105.74</v>
      </c>
    </row>
    <row r="53" spans="1:24" x14ac:dyDescent="0.3">
      <c r="W53" s="9" t="s">
        <v>99</v>
      </c>
      <c r="X53" s="13">
        <v>2477868.85</v>
      </c>
    </row>
    <row r="54" spans="1:24" x14ac:dyDescent="0.3">
      <c r="W54" s="9" t="s">
        <v>100</v>
      </c>
      <c r="X54" s="13">
        <v>3435313.5</v>
      </c>
    </row>
    <row r="55" spans="1:24" x14ac:dyDescent="0.3">
      <c r="A55" s="1" t="s">
        <v>101</v>
      </c>
      <c r="B55"/>
      <c r="W55" s="9" t="s">
        <v>102</v>
      </c>
      <c r="X55" s="13">
        <v>1049439.6599999999</v>
      </c>
    </row>
    <row r="56" spans="1:24" x14ac:dyDescent="0.3">
      <c r="A56" s="21" t="s">
        <v>103</v>
      </c>
      <c r="B56" s="21" t="s">
        <v>7</v>
      </c>
      <c r="C56" s="21" t="s">
        <v>8</v>
      </c>
      <c r="D56" s="21" t="s">
        <v>104</v>
      </c>
      <c r="W56" s="9" t="s">
        <v>105</v>
      </c>
      <c r="X56" s="13">
        <v>2759574.02</v>
      </c>
    </row>
    <row r="57" spans="1:24" x14ac:dyDescent="0.3">
      <c r="A57" t="s">
        <v>0</v>
      </c>
      <c r="B57" s="11">
        <f>GETPIVOTDATA("Net Sales",$A$4)</f>
        <v>213983614.16999996</v>
      </c>
      <c r="C57" s="11">
        <v>210138409.96000001</v>
      </c>
      <c r="D57" s="12">
        <f>B57/C57-1</f>
        <v>1.8298435829660509E-2</v>
      </c>
      <c r="W57" s="9" t="s">
        <v>106</v>
      </c>
      <c r="X57" s="13">
        <v>3085409.2800000003</v>
      </c>
    </row>
    <row r="58" spans="1:24" x14ac:dyDescent="0.3">
      <c r="A58" t="s">
        <v>96</v>
      </c>
      <c r="B58" s="11">
        <f>GETPIVOTDATA("Profit",$A$22)</f>
        <v>56429310.170000017</v>
      </c>
      <c r="C58" s="11">
        <v>60429310.170000002</v>
      </c>
      <c r="D58" s="12">
        <f>B58/C58-1</f>
        <v>-6.6193044215582919E-2</v>
      </c>
      <c r="W58" s="9" t="s">
        <v>107</v>
      </c>
      <c r="X58" s="13">
        <v>4199104.59</v>
      </c>
    </row>
    <row r="59" spans="1:24" x14ac:dyDescent="0.3">
      <c r="A59" t="s">
        <v>108</v>
      </c>
      <c r="B59" s="22">
        <f>B52</f>
        <v>0.26370855725976072</v>
      </c>
      <c r="C59" s="20">
        <v>0.28756908449770208</v>
      </c>
      <c r="D59" s="12">
        <f t="shared" ref="D59:D60" si="2">B59/C59-1</f>
        <v>-8.2973200264620295E-2</v>
      </c>
      <c r="W59" s="9" t="s">
        <v>109</v>
      </c>
      <c r="X59" s="13">
        <v>1853347.5</v>
      </c>
    </row>
    <row r="60" spans="1:24" x14ac:dyDescent="0.3">
      <c r="A60" t="s">
        <v>110</v>
      </c>
      <c r="B60">
        <f>GETPIVOTDATA("Units Sold",$A$36)</f>
        <v>1350956</v>
      </c>
      <c r="C60" s="13">
        <v>1420956</v>
      </c>
      <c r="D60" s="12">
        <f t="shared" si="2"/>
        <v>-4.9262609116679235E-2</v>
      </c>
      <c r="W60" s="9" t="s">
        <v>111</v>
      </c>
      <c r="X60" s="13">
        <v>1816928.9100000001</v>
      </c>
    </row>
    <row r="61" spans="1:24" x14ac:dyDescent="0.3">
      <c r="W61" s="9" t="s">
        <v>112</v>
      </c>
      <c r="X61" s="13">
        <v>2453034.2699999996</v>
      </c>
    </row>
    <row r="62" spans="1:24" x14ac:dyDescent="0.3">
      <c r="W62" s="9" t="s">
        <v>113</v>
      </c>
      <c r="X62" s="13">
        <v>3226817.1</v>
      </c>
    </row>
    <row r="63" spans="1:24" x14ac:dyDescent="0.3">
      <c r="W63" s="9" t="s">
        <v>114</v>
      </c>
      <c r="X63" s="13">
        <v>175043.69999999998</v>
      </c>
    </row>
    <row r="64" spans="1:24" x14ac:dyDescent="0.3">
      <c r="W64" s="9" t="s">
        <v>115</v>
      </c>
      <c r="X64" s="13">
        <v>1866847.01</v>
      </c>
    </row>
    <row r="65" spans="23:24" x14ac:dyDescent="0.3">
      <c r="W65" s="9" t="s">
        <v>116</v>
      </c>
      <c r="X65" s="13">
        <v>3671049.2199999997</v>
      </c>
    </row>
    <row r="66" spans="23:24" x14ac:dyDescent="0.3">
      <c r="W66" s="9" t="s">
        <v>117</v>
      </c>
      <c r="X66" s="13">
        <v>9516810.0099999998</v>
      </c>
    </row>
    <row r="67" spans="23:24" x14ac:dyDescent="0.3">
      <c r="W67" s="9" t="s">
        <v>118</v>
      </c>
      <c r="X67" s="13">
        <v>130125.95999999999</v>
      </c>
    </row>
    <row r="68" spans="23:24" x14ac:dyDescent="0.3">
      <c r="W68" s="9" t="s">
        <v>119</v>
      </c>
      <c r="X68" s="13">
        <v>60226.649999999994</v>
      </c>
    </row>
    <row r="69" spans="23:24" x14ac:dyDescent="0.3">
      <c r="W69" s="9" t="s">
        <v>120</v>
      </c>
      <c r="X69" s="13">
        <v>2196718.2000000002</v>
      </c>
    </row>
    <row r="70" spans="23:24" x14ac:dyDescent="0.3">
      <c r="W70" s="9" t="s">
        <v>121</v>
      </c>
      <c r="X70" s="13">
        <v>679244</v>
      </c>
    </row>
    <row r="71" spans="23:24" x14ac:dyDescent="0.3">
      <c r="W71" s="9" t="s">
        <v>122</v>
      </c>
      <c r="X71" s="13">
        <v>150963.84</v>
      </c>
    </row>
    <row r="72" spans="23:24" x14ac:dyDescent="0.3">
      <c r="W72" s="9" t="s">
        <v>123</v>
      </c>
      <c r="X72" s="13">
        <v>5178487.5</v>
      </c>
    </row>
    <row r="73" spans="23:24" x14ac:dyDescent="0.3">
      <c r="W73" s="9" t="s">
        <v>124</v>
      </c>
      <c r="X73" s="13">
        <v>3470809.25</v>
      </c>
    </row>
    <row r="74" spans="23:24" x14ac:dyDescent="0.3">
      <c r="W74" s="9" t="s">
        <v>125</v>
      </c>
      <c r="X74" s="13">
        <v>1865881.2</v>
      </c>
    </row>
    <row r="75" spans="23:24" x14ac:dyDescent="0.3">
      <c r="W75" s="9" t="s">
        <v>126</v>
      </c>
      <c r="X75" s="13">
        <v>7729633.5099999988</v>
      </c>
    </row>
    <row r="76" spans="23:24" x14ac:dyDescent="0.3">
      <c r="W76" s="9" t="s">
        <v>127</v>
      </c>
      <c r="X76" s="13">
        <v>2611058.2999999998</v>
      </c>
    </row>
    <row r="77" spans="23:24" x14ac:dyDescent="0.3">
      <c r="W77" s="9" t="s">
        <v>128</v>
      </c>
      <c r="X77" s="13">
        <v>773345.52</v>
      </c>
    </row>
    <row r="78" spans="23:24" x14ac:dyDescent="0.3">
      <c r="W78" s="9" t="s">
        <v>129</v>
      </c>
      <c r="X78" s="13">
        <v>6537475.7999999998</v>
      </c>
    </row>
    <row r="79" spans="23:24" x14ac:dyDescent="0.3">
      <c r="W79" s="9" t="s">
        <v>130</v>
      </c>
      <c r="X79" s="13">
        <v>2262838.5</v>
      </c>
    </row>
    <row r="80" spans="23:24" x14ac:dyDescent="0.3">
      <c r="W80" s="9" t="s">
        <v>131</v>
      </c>
      <c r="X80" s="13">
        <v>2565634.5</v>
      </c>
    </row>
    <row r="81" spans="23:24" x14ac:dyDescent="0.3">
      <c r="W81" s="9" t="s">
        <v>132</v>
      </c>
      <c r="X81" s="13">
        <v>5572882.3600000003</v>
      </c>
    </row>
    <row r="82" spans="23:24" x14ac:dyDescent="0.3">
      <c r="W82" s="9" t="s">
        <v>133</v>
      </c>
      <c r="X82" s="13">
        <v>1947078</v>
      </c>
    </row>
    <row r="83" spans="23:24" x14ac:dyDescent="0.3">
      <c r="W83" s="9" t="s">
        <v>134</v>
      </c>
      <c r="X83" s="13">
        <v>5163467.0100000007</v>
      </c>
    </row>
    <row r="84" spans="23:24" x14ac:dyDescent="0.3">
      <c r="W84" s="9" t="s">
        <v>135</v>
      </c>
      <c r="X84" s="13">
        <v>4645834.3899999997</v>
      </c>
    </row>
    <row r="85" spans="23:24" x14ac:dyDescent="0.3">
      <c r="W85" s="9" t="s">
        <v>136</v>
      </c>
      <c r="X85" s="13">
        <v>5041314</v>
      </c>
    </row>
    <row r="86" spans="23:24" x14ac:dyDescent="0.3">
      <c r="W86" s="9" t="s">
        <v>137</v>
      </c>
      <c r="X86" s="13">
        <v>7126291.0199999996</v>
      </c>
    </row>
    <row r="87" spans="23:24" x14ac:dyDescent="0.3">
      <c r="W87" s="9" t="s">
        <v>138</v>
      </c>
      <c r="X87" s="13">
        <v>4731661.1199999992</v>
      </c>
    </row>
    <row r="88" spans="23:24" x14ac:dyDescent="0.3">
      <c r="W88" s="9" t="s">
        <v>139</v>
      </c>
      <c r="X88" s="13">
        <v>3924600.25</v>
      </c>
    </row>
    <row r="89" spans="23:24" x14ac:dyDescent="0.3">
      <c r="W89" s="9" t="s">
        <v>140</v>
      </c>
      <c r="X89" s="13">
        <v>33208.559999999998</v>
      </c>
    </row>
    <row r="90" spans="23:24" x14ac:dyDescent="0.3">
      <c r="W90" s="9" t="s">
        <v>141</v>
      </c>
      <c r="X90" s="13">
        <v>2344854.44</v>
      </c>
    </row>
    <row r="91" spans="23:24" x14ac:dyDescent="0.3">
      <c r="W91" s="9" t="s">
        <v>142</v>
      </c>
      <c r="X91" s="13">
        <v>204237.38</v>
      </c>
    </row>
    <row r="92" spans="23:24" x14ac:dyDescent="0.3">
      <c r="W92" s="9" t="s">
        <v>143</v>
      </c>
      <c r="X92" s="13">
        <v>4838794.87</v>
      </c>
    </row>
    <row r="93" spans="23:24" x14ac:dyDescent="0.3">
      <c r="W93" s="9" t="s">
        <v>144</v>
      </c>
      <c r="X93" s="13">
        <v>2013117.16</v>
      </c>
    </row>
    <row r="94" spans="23:24" x14ac:dyDescent="0.3">
      <c r="W94" s="9" t="s">
        <v>145</v>
      </c>
      <c r="X94" s="13">
        <v>1499291.6900000002</v>
      </c>
    </row>
    <row r="95" spans="23:24" x14ac:dyDescent="0.3">
      <c r="W95" s="9" t="s">
        <v>146</v>
      </c>
      <c r="X95" s="13">
        <v>5111372.0200000005</v>
      </c>
    </row>
    <row r="96" spans="23:24" x14ac:dyDescent="0.3">
      <c r="W96" s="9" t="s">
        <v>147</v>
      </c>
      <c r="X96" s="13">
        <v>1586412.0100000002</v>
      </c>
    </row>
    <row r="97" spans="23:24" x14ac:dyDescent="0.3">
      <c r="W97" s="9" t="s">
        <v>148</v>
      </c>
      <c r="X97" s="13">
        <v>70329.960000000006</v>
      </c>
    </row>
    <row r="98" spans="23:24" x14ac:dyDescent="0.3">
      <c r="W98" s="9" t="s">
        <v>149</v>
      </c>
      <c r="X98" s="13">
        <v>1212983.52</v>
      </c>
    </row>
    <row r="99" spans="23:24" x14ac:dyDescent="0.3">
      <c r="W99" s="9" t="s">
        <v>27</v>
      </c>
      <c r="X99" s="13">
        <v>213983614.17000005</v>
      </c>
    </row>
  </sheetData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Jain</dc:creator>
  <cp:lastModifiedBy>Nishant Jain</cp:lastModifiedBy>
  <dcterms:created xsi:type="dcterms:W3CDTF">2026-03-19T06:32:35Z</dcterms:created>
  <dcterms:modified xsi:type="dcterms:W3CDTF">2026-03-19T06:33:48Z</dcterms:modified>
</cp:coreProperties>
</file>